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普通批" sheetId="1" r:id="rId1"/>
    <sheet name="提前批各类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<sst xmlns="http://schemas.openxmlformats.org/spreadsheetml/2006/main" count="752" uniqueCount="386">
  <si>
    <t>批次</t>
  </si>
  <si>
    <t>专业组</t>
  </si>
  <si>
    <t>专业代码</t>
  </si>
  <si>
    <t>专业名称</t>
  </si>
  <si>
    <t>选考科目</t>
  </si>
  <si>
    <t>招生特征</t>
  </si>
  <si>
    <t>招生计划</t>
  </si>
  <si>
    <t>录取数</t>
  </si>
  <si>
    <t>最低分</t>
  </si>
  <si>
    <t>最低排位</t>
  </si>
  <si>
    <t>提前批本科_普通类（历史）历史科目组</t>
  </si>
  <si>
    <t>101</t>
  </si>
  <si>
    <t>011</t>
  </si>
  <si>
    <t>小学教育(师范，定向至韶关市南雄市)</t>
  </si>
  <si>
    <t>历史</t>
  </si>
  <si>
    <t>102</t>
  </si>
  <si>
    <t>012</t>
  </si>
  <si>
    <t>小学教育(师范，定向至韶关市翁源县)</t>
  </si>
  <si>
    <t>103</t>
  </si>
  <si>
    <t>013</t>
  </si>
  <si>
    <t>小学教育(师范，定向至韶关市新丰县)</t>
  </si>
  <si>
    <t>104</t>
  </si>
  <si>
    <t>014</t>
  </si>
  <si>
    <t>小学教育(师范，定向至韶关市仁化县)</t>
  </si>
  <si>
    <t>105</t>
  </si>
  <si>
    <t>015</t>
  </si>
  <si>
    <t>小学教育(师范，定向至清远市连州市)</t>
  </si>
  <si>
    <t>106</t>
  </si>
  <si>
    <t>016</t>
  </si>
  <si>
    <t>小学教育(师范，定向至清远市清新区)</t>
  </si>
  <si>
    <t>107</t>
  </si>
  <si>
    <t>017</t>
  </si>
  <si>
    <t>小学教育(师范，定向至清远市连南县)</t>
  </si>
  <si>
    <t>018</t>
  </si>
  <si>
    <t>小学教育(师范，定向至湛江市廉江市)</t>
  </si>
  <si>
    <t>019</t>
  </si>
  <si>
    <t>学前教育(师范，定向至清远市连州市)</t>
  </si>
  <si>
    <t>020</t>
  </si>
  <si>
    <t>学前教育(师范，定向至汕尾市海丰县)</t>
  </si>
  <si>
    <t>提前批本科教师专项历史(组)：10</t>
  </si>
  <si>
    <t>提前批本科_普通类（物理）物理科目组</t>
  </si>
  <si>
    <t>001</t>
  </si>
  <si>
    <t>物理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</si>
  <si>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</si>
  <si>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</si>
  <si>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</si>
  <si>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</si>
  <si>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</si>
  <si>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</si>
  <si>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</si>
  <si>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</si>
  <si>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</si>
  <si>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提前批本科教师专项物理(组)：10</t>
  </si>
  <si>
    <t>提前批本科_体育术科类体育科目组</t>
  </si>
  <si>
    <t>038</t>
  </si>
  <si>
    <t>体育教育(师范，定向至韶关市南雄市)</t>
  </si>
  <si>
    <t>不限</t>
  </si>
  <si>
    <t>不招色盲色弱</t>
  </si>
  <si>
    <t>039</t>
  </si>
  <si>
    <t>体育教育(师范，定向至韶关市新丰县)</t>
  </si>
  <si>
    <t>040</t>
  </si>
  <si>
    <t>体育教育(师范，定向至韶关市仁化县</t>
  </si>
  <si>
    <t>041</t>
  </si>
  <si>
    <t>体育教育(师范，定向至韶关市始兴县)</t>
  </si>
  <si>
    <t>042</t>
  </si>
  <si>
    <t>体育教育(师范，定向至清远市连南县)</t>
  </si>
  <si>
    <t>043</t>
  </si>
  <si>
    <t>体育教育(师范，定向至清远市清新区)</t>
  </si>
  <si>
    <t>044</t>
  </si>
  <si>
    <t>体育教育(师范，定向至河源市连平县)</t>
  </si>
  <si>
    <t>045</t>
  </si>
  <si>
    <t>体育教育(师范，定向至湛江市廉江市)</t>
  </si>
  <si>
    <t>提前批本科教师专项体育术科类：8</t>
  </si>
  <si>
    <t>提前批本科_物理(化)科目组_不招色盲色弱</t>
  </si>
  <si>
    <t>047</t>
  </si>
  <si>
    <t>临床医学（定向至广州市从化区）</t>
  </si>
  <si>
    <t>物理*化学</t>
  </si>
  <si>
    <t>049</t>
  </si>
  <si>
    <t>临床医学（定向至韶关市始兴县）</t>
  </si>
  <si>
    <t>050</t>
  </si>
  <si>
    <t>临床医学（定向至韶关市仁化县）</t>
  </si>
  <si>
    <t>051</t>
  </si>
  <si>
    <t>临床医学(定向至韶关市翁源县)</t>
  </si>
  <si>
    <t>052</t>
  </si>
  <si>
    <t>临床医学(定向至韶关市乳源县)</t>
  </si>
  <si>
    <t>053</t>
  </si>
  <si>
    <t>临床医学(定向至韶关市新丰县)</t>
  </si>
  <si>
    <t>055</t>
  </si>
  <si>
    <t>临床医学(定向至韶关市武江区)</t>
  </si>
  <si>
    <t>056</t>
  </si>
  <si>
    <t>临床医学(定向至韶关市浈江区)</t>
  </si>
  <si>
    <t>057</t>
  </si>
  <si>
    <t>临床医学(定向至韶关市曲江区)</t>
  </si>
  <si>
    <t>058</t>
  </si>
  <si>
    <t>临床医学(定向至惠州市惠东县)</t>
  </si>
  <si>
    <t>059</t>
  </si>
  <si>
    <t>临床医学(定向至清远市清城区)</t>
  </si>
  <si>
    <t>060</t>
  </si>
  <si>
    <t>临床医学(定向至清远市清新区)</t>
  </si>
  <si>
    <t>061</t>
  </si>
  <si>
    <t>临床医学(定向至清远市英德市)</t>
  </si>
  <si>
    <t>062</t>
  </si>
  <si>
    <t>临床医学(定向至清远市佛冈县)</t>
  </si>
  <si>
    <t>063</t>
  </si>
  <si>
    <t>临床医学(定向至清远市连州市)</t>
  </si>
  <si>
    <t>064</t>
  </si>
  <si>
    <t>临床医学(定向至清远市连南县)</t>
  </si>
  <si>
    <t>065</t>
  </si>
  <si>
    <t>临床医学(定向至清远市阳山县)</t>
  </si>
  <si>
    <t>066</t>
  </si>
  <si>
    <t>临床医学(定向至潮州市湘桥区)</t>
  </si>
  <si>
    <t>067</t>
  </si>
  <si>
    <t>临床医学(定向至潮州市潮安区)</t>
  </si>
  <si>
    <t>068</t>
  </si>
  <si>
    <t>临床医学(定向至潮州市饶平县)</t>
  </si>
  <si>
    <t>054</t>
  </si>
  <si>
    <t>临床医学(定向至韶关市乐昌市)</t>
  </si>
  <si>
    <t>352</t>
  </si>
  <si>
    <t>临床医学(定向至梅州市梅县区)</t>
  </si>
  <si>
    <t>353</t>
  </si>
  <si>
    <t>临床医学(定向至梅州市蕉岭县)</t>
  </si>
  <si>
    <t>354</t>
  </si>
  <si>
    <t>临床医学(定向至梅州市五华县)</t>
  </si>
  <si>
    <t>提前批本科卫生专项：24</t>
  </si>
  <si>
    <t>本科_普通类(历史科目组)</t>
  </si>
  <si>
    <t>211</t>
  </si>
  <si>
    <t>263</t>
  </si>
  <si>
    <t>历史学(师范)</t>
  </si>
  <si>
    <t>268</t>
  </si>
  <si>
    <t>汉语言文学(师范)</t>
  </si>
  <si>
    <t>271</t>
  </si>
  <si>
    <t>英语(师范)</t>
  </si>
  <si>
    <t>275</t>
  </si>
  <si>
    <t>小学教育(师范)</t>
  </si>
  <si>
    <t>212</t>
  </si>
  <si>
    <t>264</t>
  </si>
  <si>
    <t>法学</t>
  </si>
  <si>
    <t>265</t>
  </si>
  <si>
    <t>公共事业管理</t>
  </si>
  <si>
    <t>266</t>
  </si>
  <si>
    <t>行政管理</t>
  </si>
  <si>
    <t>267</t>
  </si>
  <si>
    <t>社会工作</t>
  </si>
  <si>
    <t>213</t>
  </si>
  <si>
    <t>269</t>
  </si>
  <si>
    <t>新闻学</t>
  </si>
  <si>
    <t>270</t>
  </si>
  <si>
    <t>秘书学</t>
  </si>
  <si>
    <t>214</t>
  </si>
  <si>
    <t>272</t>
  </si>
  <si>
    <t>日语</t>
  </si>
  <si>
    <t>215</t>
  </si>
  <si>
    <t>273</t>
  </si>
  <si>
    <t>商务英语</t>
  </si>
  <si>
    <t>279</t>
  </si>
  <si>
    <t>旅游管理</t>
  </si>
  <si>
    <t>281</t>
  </si>
  <si>
    <t>国际经济与贸易</t>
  </si>
  <si>
    <t>282</t>
  </si>
  <si>
    <t>工商管理</t>
  </si>
  <si>
    <t>283</t>
  </si>
  <si>
    <t>会计学</t>
  </si>
  <si>
    <t>284</t>
  </si>
  <si>
    <t>人力资源管理</t>
  </si>
  <si>
    <t>216</t>
  </si>
  <si>
    <t>280</t>
  </si>
  <si>
    <t>旅游管理（3+1学分互认）</t>
  </si>
  <si>
    <t>217</t>
  </si>
  <si>
    <t>274</t>
  </si>
  <si>
    <t>商务英语（3+1学分互认）</t>
  </si>
  <si>
    <t>218</t>
  </si>
  <si>
    <t>277</t>
  </si>
  <si>
    <t>地理科学(师范)</t>
  </si>
  <si>
    <t>历史*地理</t>
  </si>
  <si>
    <t>不招色盲</t>
  </si>
  <si>
    <t>278</t>
  </si>
  <si>
    <t>人文地理与城乡规划</t>
  </si>
  <si>
    <t>219</t>
  </si>
  <si>
    <t>262</t>
  </si>
  <si>
    <t>思想政治教育(师范)</t>
  </si>
  <si>
    <t>历史*政治</t>
  </si>
  <si>
    <t>220</t>
  </si>
  <si>
    <t>286</t>
  </si>
  <si>
    <t>园林</t>
  </si>
  <si>
    <t>历史*生物</t>
  </si>
  <si>
    <t>221</t>
  </si>
  <si>
    <t>276</t>
  </si>
  <si>
    <t>学前教育(师范)</t>
  </si>
  <si>
    <t>285</t>
  </si>
  <si>
    <t>心理学(师范)</t>
  </si>
  <si>
    <t>小计</t>
  </si>
  <si>
    <t>本科_普通类(物理科目组)</t>
  </si>
  <si>
    <t>222</t>
  </si>
  <si>
    <t>201</t>
  </si>
  <si>
    <t>化学(师范)</t>
  </si>
  <si>
    <t>202</t>
  </si>
  <si>
    <t>应用化学</t>
  </si>
  <si>
    <t>223</t>
  </si>
  <si>
    <t>203</t>
  </si>
  <si>
    <t>医学检验技术</t>
  </si>
  <si>
    <t>224</t>
  </si>
  <si>
    <t>210</t>
  </si>
  <si>
    <t>食品科学与工程</t>
  </si>
  <si>
    <t>228</t>
  </si>
  <si>
    <t>食品营养与健康</t>
  </si>
  <si>
    <t>225</t>
  </si>
  <si>
    <t>207</t>
  </si>
  <si>
    <t>生物科学(师范)</t>
  </si>
  <si>
    <t>209</t>
  </si>
  <si>
    <t>园艺</t>
  </si>
  <si>
    <t>238</t>
  </si>
  <si>
    <t>生物技术</t>
  </si>
  <si>
    <t>347</t>
  </si>
  <si>
    <t>土地科学与技术</t>
  </si>
  <si>
    <t>226</t>
  </si>
  <si>
    <t>临床医学</t>
  </si>
  <si>
    <t>227</t>
  </si>
  <si>
    <t>326</t>
  </si>
  <si>
    <t>药学</t>
  </si>
  <si>
    <t>261</t>
  </si>
  <si>
    <t>护理学</t>
  </si>
  <si>
    <t>229</t>
  </si>
  <si>
    <t>257</t>
  </si>
  <si>
    <t>无机非金属材料工程</t>
  </si>
  <si>
    <t>258</t>
  </si>
  <si>
    <t>环境工程</t>
  </si>
  <si>
    <t>230</t>
  </si>
  <si>
    <t>259</t>
  </si>
  <si>
    <t>动物科学</t>
  </si>
  <si>
    <t>321</t>
  </si>
  <si>
    <t>生物工程</t>
  </si>
  <si>
    <t>231</t>
  </si>
  <si>
    <t>204</t>
  </si>
  <si>
    <t>物理*地理</t>
  </si>
  <si>
    <t>205</t>
  </si>
  <si>
    <t>232</t>
  </si>
  <si>
    <t>206</t>
  </si>
  <si>
    <t>食品质量与安全</t>
  </si>
  <si>
    <t>物理*生物</t>
  </si>
  <si>
    <t>233</t>
  </si>
  <si>
    <t>260</t>
  </si>
  <si>
    <t>234</t>
  </si>
  <si>
    <t>园艺(应用技术类，与广东农工商职业技术学院协4+0同培养)</t>
  </si>
  <si>
    <t>235</t>
  </si>
  <si>
    <t>网络空间安全</t>
  </si>
  <si>
    <t>不招单色识别不全者</t>
  </si>
  <si>
    <t>电子信息科学与技术</t>
  </si>
  <si>
    <t>245</t>
  </si>
  <si>
    <t>计算机科学与技术</t>
  </si>
  <si>
    <t>236</t>
  </si>
  <si>
    <t>物理*思想政治</t>
  </si>
  <si>
    <t>237</t>
  </si>
  <si>
    <t>348</t>
  </si>
  <si>
    <t>349</t>
  </si>
  <si>
    <t>239</t>
  </si>
  <si>
    <t>350</t>
  </si>
  <si>
    <t>240</t>
  </si>
  <si>
    <t>241</t>
  </si>
  <si>
    <t>数字经济</t>
  </si>
  <si>
    <t>242</t>
  </si>
  <si>
    <t>数学与应用数学(师范)</t>
  </si>
  <si>
    <t>243</t>
  </si>
  <si>
    <t>信息与计算科学</t>
  </si>
  <si>
    <t>应用统计学</t>
  </si>
  <si>
    <t>351</t>
  </si>
  <si>
    <t>统计学</t>
  </si>
  <si>
    <t>244</t>
  </si>
  <si>
    <t>土木工程</t>
  </si>
  <si>
    <t>车辆工程</t>
  </si>
  <si>
    <t>自动化</t>
  </si>
  <si>
    <t>机器人工程</t>
  </si>
  <si>
    <t>322</t>
  </si>
  <si>
    <t>机械设计制造及其自动化</t>
  </si>
  <si>
    <t>数字媒体技术</t>
  </si>
  <si>
    <t>通信工程</t>
  </si>
  <si>
    <t>246</t>
  </si>
  <si>
    <t>物联网工程</t>
  </si>
  <si>
    <t>247</t>
  </si>
  <si>
    <t>数据科学与大数据技术</t>
  </si>
  <si>
    <t>320</t>
  </si>
  <si>
    <t>车辆工程(应用技术类，与广东机电职业技术学院4+0协同培养)</t>
  </si>
  <si>
    <t>253</t>
  </si>
  <si>
    <t>计算机科学与技术(应用技术类，与东莞职业技术学院4+0协同培养)</t>
  </si>
  <si>
    <t>248</t>
  </si>
  <si>
    <t>324</t>
  </si>
  <si>
    <t>249</t>
  </si>
  <si>
    <t>323</t>
  </si>
  <si>
    <t>250</t>
  </si>
  <si>
    <t>254</t>
  </si>
  <si>
    <t>软件工程</t>
  </si>
  <si>
    <t>251</t>
  </si>
  <si>
    <t>255</t>
  </si>
  <si>
    <t>物理学(师范)</t>
  </si>
  <si>
    <t>252</t>
  </si>
  <si>
    <t>256</t>
  </si>
  <si>
    <t>本科_美术与设计类统考</t>
  </si>
  <si>
    <t>299</t>
  </si>
  <si>
    <t>美术学(师范)</t>
  </si>
  <si>
    <t>208</t>
  </si>
  <si>
    <t>300</t>
  </si>
  <si>
    <t>视觉传达设计</t>
  </si>
  <si>
    <t>341</t>
  </si>
  <si>
    <t>环境设计</t>
  </si>
  <si>
    <t>342</t>
  </si>
  <si>
    <t>产品设计</t>
  </si>
  <si>
    <t>本科_音乐类统考</t>
  </si>
  <si>
    <t>297</t>
  </si>
  <si>
    <t>音乐学(师范)</t>
  </si>
  <si>
    <t>296</t>
  </si>
  <si>
    <t>音乐表演</t>
  </si>
  <si>
    <t>325</t>
  </si>
  <si>
    <t>音乐学(师范，3.5+2学分互认）</t>
  </si>
  <si>
    <t>本科_舞蹈类统考</t>
  </si>
  <si>
    <t>298</t>
  </si>
  <si>
    <t>舞蹈学(师范)</t>
  </si>
  <si>
    <t>本科_体育类统考</t>
  </si>
  <si>
    <t>301</t>
  </si>
  <si>
    <t>体育教育(师范)</t>
  </si>
  <si>
    <t>302</t>
  </si>
  <si>
    <t>体育教育(师范，3.5+2学分互认)</t>
  </si>
  <si>
    <t>提前批专科_物理(化)科目组_不招色盲色弱</t>
  </si>
  <si>
    <t>069</t>
  </si>
  <si>
    <t>临床医学(定向至韶关市仁化县)</t>
  </si>
  <si>
    <t>070</t>
  </si>
  <si>
    <t>071</t>
  </si>
  <si>
    <t>072</t>
  </si>
  <si>
    <t>073</t>
  </si>
  <si>
    <t>075</t>
  </si>
  <si>
    <t>076</t>
  </si>
  <si>
    <t>077</t>
  </si>
  <si>
    <t>临床医学(定向至河源市和平县)</t>
  </si>
  <si>
    <t>078</t>
  </si>
  <si>
    <t>临床医学(定向至河源市连平县)</t>
  </si>
  <si>
    <t>079</t>
  </si>
  <si>
    <t>临床医学(定向至河源市紫金县)</t>
  </si>
  <si>
    <t>080</t>
  </si>
  <si>
    <t>临床医学(定向至河源市龙川县)</t>
  </si>
  <si>
    <t>081</t>
  </si>
  <si>
    <t>082</t>
  </si>
  <si>
    <t>临床医学(定向至梅州市兴宁市)</t>
  </si>
  <si>
    <t>083</t>
  </si>
  <si>
    <t>临床医学(定向至梅州市大埔县)</t>
  </si>
  <si>
    <t>085</t>
  </si>
  <si>
    <t>临床医学(定向至梅州市丰顺县)</t>
  </si>
  <si>
    <t>086</t>
  </si>
  <si>
    <t>087</t>
  </si>
  <si>
    <t>临床医学(定向至汕尾市海丰县)</t>
  </si>
  <si>
    <t>088</t>
  </si>
  <si>
    <t>临床医学(定向至汕尾市陆丰市)</t>
  </si>
  <si>
    <t>092</t>
  </si>
  <si>
    <t>临床医学(定向至湛江市雷州市)</t>
  </si>
  <si>
    <t>093</t>
  </si>
  <si>
    <t>临床医学(定向至湛江市徐闻县)</t>
  </si>
  <si>
    <t>094</t>
  </si>
  <si>
    <t>临床医学(定向至云浮市云安区)</t>
  </si>
  <si>
    <t>095</t>
  </si>
  <si>
    <t>临床医学(定向至云浮市罗定市)</t>
  </si>
  <si>
    <t>096</t>
  </si>
  <si>
    <t>临床医学(定向至云浮市新兴县)</t>
  </si>
  <si>
    <t>098</t>
  </si>
  <si>
    <t>临床医学(定向至云浮市郁南县)</t>
  </si>
  <si>
    <t>074</t>
  </si>
  <si>
    <t>临床医学(定向至韶关市南雄市)</t>
  </si>
  <si>
    <t/>
  </si>
  <si>
    <t>专业数：25</t>
  </si>
  <si>
    <t>录取数：143</t>
  </si>
  <si>
    <t>专科_物理(化)科目组_不招色盲色弱</t>
  </si>
  <si>
    <t>310</t>
  </si>
  <si>
    <t>口腔医学</t>
  </si>
  <si>
    <t>339</t>
  </si>
  <si>
    <t>中医学</t>
  </si>
  <si>
    <t>专业数：2</t>
  </si>
  <si>
    <t>录取数：357</t>
  </si>
  <si>
    <t>2025年录取统计表</t>
  </si>
  <si>
    <t>序号</t>
  </si>
  <si>
    <t>组类</t>
  </si>
  <si>
    <t>计划数</t>
  </si>
  <si>
    <t>录取</t>
  </si>
  <si>
    <t>提前批本科历史科目组</t>
  </si>
  <si>
    <t>小学教育（师范，教师专项）</t>
  </si>
  <si>
    <t>学前教育（师范，教师专项）</t>
  </si>
  <si>
    <t>提前批本科物理科目组</t>
  </si>
  <si>
    <t>提前批本科体育科目组</t>
  </si>
  <si>
    <t>体育教育（师范，教师专项）</t>
  </si>
  <si>
    <t>临床医学（卫生专项）</t>
  </si>
  <si>
    <t>提前批专科物理科目组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</si>
</sst>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宋体"/>
      <charset val="134"/>
    </font>
    <font>
      <b/>
      <sz val="12"/>
      <name val="等线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protection locked="0"/>
    </xf>
  </cellStyleXfs>
  <cellXfs count="6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1" xfId="49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49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9" fillId="0" borderId="1" xfId="49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8" fillId="0" borderId="1" xfId="0" applyFont="1" applyFill="1" applyBorder="1" applyAlignment="1" quotePrefix="1">
      <alignment horizontal="center" vertical="center" wrapText="1"/>
    </xf>
    <xf numFmtId="0" fontId="8" fillId="3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0"/>
  <sheetViews>
    <sheetView tabSelected="1" workbookViewId="0">
      <pane ySplit="1" topLeftCell="A104" activePane="bottomLeft" state="frozen"/>
      <selection/>
      <selection pane="bottomLeft" activeCell="I110" sqref="I110"/>
    </sheetView>
  </sheetViews>
  <sheetFormatPr defaultColWidth="9" defaultRowHeight="14.25"/>
  <cols>
    <col min="1" max="1" width="21.125" style="13" customWidth="1"/>
    <col min="2" max="2" width="7" style="14" customWidth="1"/>
    <col min="3" max="3" width="8.875" style="14" customWidth="1"/>
    <col min="4" max="4" width="36" style="14" customWidth="1"/>
    <col min="5" max="5" width="14.75" style="14" customWidth="1"/>
    <col min="6" max="6" width="19.125" style="14" customWidth="1"/>
    <col min="7" max="7" width="8.875" style="14" customWidth="1"/>
    <col min="8" max="8" width="6.625" style="14" customWidth="1"/>
    <col min="9" max="9" width="12.625" style="14" customWidth="1"/>
    <col min="10" max="10" width="8.875" style="14" customWidth="1"/>
    <col min="11" max="233" width="19" style="14" customWidth="1"/>
    <col min="234" max="234" width="9" style="14"/>
    <col min="235" max="235" width="23.625" style="15" customWidth="1"/>
    <col min="236" max="236" width="7.375" style="15" customWidth="1"/>
    <col min="237" max="237" width="10" style="15" customWidth="1"/>
    <col min="238" max="238" width="26.625" style="15" customWidth="1"/>
    <col min="239" max="239" width="15.625" style="15" customWidth="1"/>
    <col min="240" max="240" width="21.25" style="15" customWidth="1"/>
    <col min="241" max="241" width="10" style="15" customWidth="1"/>
    <col min="242" max="243" width="12.125" style="15" customWidth="1"/>
    <col min="244" max="244" width="14.375" style="15" customWidth="1"/>
    <col min="245" max="247" width="7.375" style="15" customWidth="1"/>
    <col min="248" max="248" width="11.5" style="15" customWidth="1"/>
    <col min="249" max="489" width="19" style="15" customWidth="1"/>
    <col min="490" max="490" width="9" style="15"/>
    <col min="491" max="491" width="23.625" style="15" customWidth="1"/>
    <col min="492" max="492" width="7.375" style="15" customWidth="1"/>
    <col min="493" max="493" width="10" style="15" customWidth="1"/>
    <col min="494" max="494" width="26.625" style="15" customWidth="1"/>
    <col min="495" max="495" width="15.625" style="15" customWidth="1"/>
    <col min="496" max="496" width="21.25" style="15" customWidth="1"/>
    <col min="497" max="497" width="10" style="15" customWidth="1"/>
    <col min="498" max="499" width="12.125" style="15" customWidth="1"/>
    <col min="500" max="500" width="14.375" style="15" customWidth="1"/>
    <col min="501" max="503" width="7.375" style="15" customWidth="1"/>
    <col min="504" max="504" width="11.5" style="15" customWidth="1"/>
    <col min="505" max="745" width="19" style="15" customWidth="1"/>
    <col min="746" max="746" width="9" style="15"/>
    <col min="747" max="747" width="23.625" style="15" customWidth="1"/>
    <col min="748" max="748" width="7.375" style="15" customWidth="1"/>
    <col min="749" max="749" width="10" style="15" customWidth="1"/>
    <col min="750" max="750" width="26.625" style="15" customWidth="1"/>
    <col min="751" max="751" width="15.625" style="15" customWidth="1"/>
    <col min="752" max="752" width="21.25" style="15" customWidth="1"/>
    <col min="753" max="753" width="10" style="15" customWidth="1"/>
    <col min="754" max="755" width="12.125" style="15" customWidth="1"/>
    <col min="756" max="756" width="14.375" style="15" customWidth="1"/>
    <col min="757" max="759" width="7.375" style="15" customWidth="1"/>
    <col min="760" max="760" width="11.5" style="15" customWidth="1"/>
    <col min="761" max="1001" width="19" style="15" customWidth="1"/>
    <col min="1002" max="1002" width="9" style="15"/>
    <col min="1003" max="1003" width="23.625" style="15" customWidth="1"/>
    <col min="1004" max="1004" width="7.375" style="15" customWidth="1"/>
    <col min="1005" max="1005" width="10" style="15" customWidth="1"/>
    <col min="1006" max="1006" width="26.625" style="15" customWidth="1"/>
    <col min="1007" max="1007" width="15.625" style="15" customWidth="1"/>
    <col min="1008" max="1008" width="21.25" style="15" customWidth="1"/>
    <col min="1009" max="1009" width="10" style="15" customWidth="1"/>
    <col min="1010" max="1011" width="12.125" style="15" customWidth="1"/>
    <col min="1012" max="1012" width="14.375" style="15" customWidth="1"/>
    <col min="1013" max="1015" width="7.375" style="15" customWidth="1"/>
    <col min="1016" max="1016" width="11.5" style="15" customWidth="1"/>
    <col min="1017" max="1257" width="19" style="15" customWidth="1"/>
    <col min="1258" max="1258" width="9" style="15"/>
    <col min="1259" max="1259" width="23.625" style="15" customWidth="1"/>
    <col min="1260" max="1260" width="7.375" style="15" customWidth="1"/>
    <col min="1261" max="1261" width="10" style="15" customWidth="1"/>
    <col min="1262" max="1262" width="26.625" style="15" customWidth="1"/>
    <col min="1263" max="1263" width="15.625" style="15" customWidth="1"/>
    <col min="1264" max="1264" width="21.25" style="15" customWidth="1"/>
    <col min="1265" max="1265" width="10" style="15" customWidth="1"/>
    <col min="1266" max="1267" width="12.125" style="15" customWidth="1"/>
    <col min="1268" max="1268" width="14.375" style="15" customWidth="1"/>
    <col min="1269" max="1271" width="7.375" style="15" customWidth="1"/>
    <col min="1272" max="1272" width="11.5" style="15" customWidth="1"/>
    <col min="1273" max="1513" width="19" style="15" customWidth="1"/>
    <col min="1514" max="1514" width="9" style="15"/>
    <col min="1515" max="1515" width="23.625" style="15" customWidth="1"/>
    <col min="1516" max="1516" width="7.375" style="15" customWidth="1"/>
    <col min="1517" max="1517" width="10" style="15" customWidth="1"/>
    <col min="1518" max="1518" width="26.625" style="15" customWidth="1"/>
    <col min="1519" max="1519" width="15.625" style="15" customWidth="1"/>
    <col min="1520" max="1520" width="21.25" style="15" customWidth="1"/>
    <col min="1521" max="1521" width="10" style="15" customWidth="1"/>
    <col min="1522" max="1523" width="12.125" style="15" customWidth="1"/>
    <col min="1524" max="1524" width="14.375" style="15" customWidth="1"/>
    <col min="1525" max="1527" width="7.375" style="15" customWidth="1"/>
    <col min="1528" max="1528" width="11.5" style="15" customWidth="1"/>
    <col min="1529" max="1769" width="19" style="15" customWidth="1"/>
    <col min="1770" max="1770" width="9" style="15"/>
    <col min="1771" max="1771" width="23.625" style="15" customWidth="1"/>
    <col min="1772" max="1772" width="7.375" style="15" customWidth="1"/>
    <col min="1773" max="1773" width="10" style="15" customWidth="1"/>
    <col min="1774" max="1774" width="26.625" style="15" customWidth="1"/>
    <col min="1775" max="1775" width="15.625" style="15" customWidth="1"/>
    <col min="1776" max="1776" width="21.25" style="15" customWidth="1"/>
    <col min="1777" max="1777" width="10" style="15" customWidth="1"/>
    <col min="1778" max="1779" width="12.125" style="15" customWidth="1"/>
    <col min="1780" max="1780" width="14.375" style="15" customWidth="1"/>
    <col min="1781" max="1783" width="7.375" style="15" customWidth="1"/>
    <col min="1784" max="1784" width="11.5" style="15" customWidth="1"/>
    <col min="1785" max="2025" width="19" style="15" customWidth="1"/>
    <col min="2026" max="2026" width="9" style="15"/>
    <col min="2027" max="2027" width="23.625" style="15" customWidth="1"/>
    <col min="2028" max="2028" width="7.375" style="15" customWidth="1"/>
    <col min="2029" max="2029" width="10" style="15" customWidth="1"/>
    <col min="2030" max="2030" width="26.625" style="15" customWidth="1"/>
    <col min="2031" max="2031" width="15.625" style="15" customWidth="1"/>
    <col min="2032" max="2032" width="21.25" style="15" customWidth="1"/>
    <col min="2033" max="2033" width="10" style="15" customWidth="1"/>
    <col min="2034" max="2035" width="12.125" style="15" customWidth="1"/>
    <col min="2036" max="2036" width="14.375" style="15" customWidth="1"/>
    <col min="2037" max="2039" width="7.375" style="15" customWidth="1"/>
    <col min="2040" max="2040" width="11.5" style="15" customWidth="1"/>
    <col min="2041" max="2281" width="19" style="15" customWidth="1"/>
    <col min="2282" max="2282" width="9" style="15"/>
    <col min="2283" max="2283" width="23.625" style="15" customWidth="1"/>
    <col min="2284" max="2284" width="7.375" style="15" customWidth="1"/>
    <col min="2285" max="2285" width="10" style="15" customWidth="1"/>
    <col min="2286" max="2286" width="26.625" style="15" customWidth="1"/>
    <col min="2287" max="2287" width="15.625" style="15" customWidth="1"/>
    <col min="2288" max="2288" width="21.25" style="15" customWidth="1"/>
    <col min="2289" max="2289" width="10" style="15" customWidth="1"/>
    <col min="2290" max="2291" width="12.125" style="15" customWidth="1"/>
    <col min="2292" max="2292" width="14.375" style="15" customWidth="1"/>
    <col min="2293" max="2295" width="7.375" style="15" customWidth="1"/>
    <col min="2296" max="2296" width="11.5" style="15" customWidth="1"/>
    <col min="2297" max="2537" width="19" style="15" customWidth="1"/>
    <col min="2538" max="2538" width="9" style="15"/>
    <col min="2539" max="2539" width="23.625" style="15" customWidth="1"/>
    <col min="2540" max="2540" width="7.375" style="15" customWidth="1"/>
    <col min="2541" max="2541" width="10" style="15" customWidth="1"/>
    <col min="2542" max="2542" width="26.625" style="15" customWidth="1"/>
    <col min="2543" max="2543" width="15.625" style="15" customWidth="1"/>
    <col min="2544" max="2544" width="21.25" style="15" customWidth="1"/>
    <col min="2545" max="2545" width="10" style="15" customWidth="1"/>
    <col min="2546" max="2547" width="12.125" style="15" customWidth="1"/>
    <col min="2548" max="2548" width="14.375" style="15" customWidth="1"/>
    <col min="2549" max="2551" width="7.375" style="15" customWidth="1"/>
    <col min="2552" max="2552" width="11.5" style="15" customWidth="1"/>
    <col min="2553" max="2793" width="19" style="15" customWidth="1"/>
    <col min="2794" max="2794" width="9" style="15"/>
    <col min="2795" max="2795" width="23.625" style="15" customWidth="1"/>
    <col min="2796" max="2796" width="7.375" style="15" customWidth="1"/>
    <col min="2797" max="2797" width="10" style="15" customWidth="1"/>
    <col min="2798" max="2798" width="26.625" style="15" customWidth="1"/>
    <col min="2799" max="2799" width="15.625" style="15" customWidth="1"/>
    <col min="2800" max="2800" width="21.25" style="15" customWidth="1"/>
    <col min="2801" max="2801" width="10" style="15" customWidth="1"/>
    <col min="2802" max="2803" width="12.125" style="15" customWidth="1"/>
    <col min="2804" max="2804" width="14.375" style="15" customWidth="1"/>
    <col min="2805" max="2807" width="7.375" style="15" customWidth="1"/>
    <col min="2808" max="2808" width="11.5" style="15" customWidth="1"/>
    <col min="2809" max="3049" width="19" style="15" customWidth="1"/>
    <col min="3050" max="3050" width="9" style="15"/>
    <col min="3051" max="3051" width="23.625" style="15" customWidth="1"/>
    <col min="3052" max="3052" width="7.375" style="15" customWidth="1"/>
    <col min="3053" max="3053" width="10" style="15" customWidth="1"/>
    <col min="3054" max="3054" width="26.625" style="15" customWidth="1"/>
    <col min="3055" max="3055" width="15.625" style="15" customWidth="1"/>
    <col min="3056" max="3056" width="21.25" style="15" customWidth="1"/>
    <col min="3057" max="3057" width="10" style="15" customWidth="1"/>
    <col min="3058" max="3059" width="12.125" style="15" customWidth="1"/>
    <col min="3060" max="3060" width="14.375" style="15" customWidth="1"/>
    <col min="3061" max="3063" width="7.375" style="15" customWidth="1"/>
    <col min="3064" max="3064" width="11.5" style="15" customWidth="1"/>
    <col min="3065" max="3305" width="19" style="15" customWidth="1"/>
    <col min="3306" max="3306" width="9" style="15"/>
    <col min="3307" max="3307" width="23.625" style="15" customWidth="1"/>
    <col min="3308" max="3308" width="7.375" style="15" customWidth="1"/>
    <col min="3309" max="3309" width="10" style="15" customWidth="1"/>
    <col min="3310" max="3310" width="26.625" style="15" customWidth="1"/>
    <col min="3311" max="3311" width="15.625" style="15" customWidth="1"/>
    <col min="3312" max="3312" width="21.25" style="15" customWidth="1"/>
    <col min="3313" max="3313" width="10" style="15" customWidth="1"/>
    <col min="3314" max="3315" width="12.125" style="15" customWidth="1"/>
    <col min="3316" max="3316" width="14.375" style="15" customWidth="1"/>
    <col min="3317" max="3319" width="7.375" style="15" customWidth="1"/>
    <col min="3320" max="3320" width="11.5" style="15" customWidth="1"/>
    <col min="3321" max="3561" width="19" style="15" customWidth="1"/>
    <col min="3562" max="3562" width="9" style="15"/>
    <col min="3563" max="3563" width="23.625" style="15" customWidth="1"/>
    <col min="3564" max="3564" width="7.375" style="15" customWidth="1"/>
    <col min="3565" max="3565" width="10" style="15" customWidth="1"/>
    <col min="3566" max="3566" width="26.625" style="15" customWidth="1"/>
    <col min="3567" max="3567" width="15.625" style="15" customWidth="1"/>
    <col min="3568" max="3568" width="21.25" style="15" customWidth="1"/>
    <col min="3569" max="3569" width="10" style="15" customWidth="1"/>
    <col min="3570" max="3571" width="12.125" style="15" customWidth="1"/>
    <col min="3572" max="3572" width="14.375" style="15" customWidth="1"/>
    <col min="3573" max="3575" width="7.375" style="15" customWidth="1"/>
    <col min="3576" max="3576" width="11.5" style="15" customWidth="1"/>
    <col min="3577" max="3817" width="19" style="15" customWidth="1"/>
    <col min="3818" max="3818" width="9" style="15"/>
    <col min="3819" max="3819" width="23.625" style="15" customWidth="1"/>
    <col min="3820" max="3820" width="7.375" style="15" customWidth="1"/>
    <col min="3821" max="3821" width="10" style="15" customWidth="1"/>
    <col min="3822" max="3822" width="26.625" style="15" customWidth="1"/>
    <col min="3823" max="3823" width="15.625" style="15" customWidth="1"/>
    <col min="3824" max="3824" width="21.25" style="15" customWidth="1"/>
    <col min="3825" max="3825" width="10" style="15" customWidth="1"/>
    <col min="3826" max="3827" width="12.125" style="15" customWidth="1"/>
    <col min="3828" max="3828" width="14.375" style="15" customWidth="1"/>
    <col min="3829" max="3831" width="7.375" style="15" customWidth="1"/>
    <col min="3832" max="3832" width="11.5" style="15" customWidth="1"/>
    <col min="3833" max="4073" width="19" style="15" customWidth="1"/>
    <col min="4074" max="4074" width="9" style="15"/>
    <col min="4075" max="4075" width="23.625" style="15" customWidth="1"/>
    <col min="4076" max="4076" width="7.375" style="15" customWidth="1"/>
    <col min="4077" max="4077" width="10" style="15" customWidth="1"/>
    <col min="4078" max="4078" width="26.625" style="15" customWidth="1"/>
    <col min="4079" max="4079" width="15.625" style="15" customWidth="1"/>
    <col min="4080" max="4080" width="21.25" style="15" customWidth="1"/>
    <col min="4081" max="4081" width="10" style="15" customWidth="1"/>
    <col min="4082" max="4083" width="12.125" style="15" customWidth="1"/>
    <col min="4084" max="4084" width="14.375" style="15" customWidth="1"/>
    <col min="4085" max="4087" width="7.375" style="15" customWidth="1"/>
    <col min="4088" max="4088" width="11.5" style="15" customWidth="1"/>
    <col min="4089" max="4329" width="19" style="15" customWidth="1"/>
    <col min="4330" max="4330" width="9" style="15"/>
    <col min="4331" max="4331" width="23.625" style="15" customWidth="1"/>
    <col min="4332" max="4332" width="7.375" style="15" customWidth="1"/>
    <col min="4333" max="4333" width="10" style="15" customWidth="1"/>
    <col min="4334" max="4334" width="26.625" style="15" customWidth="1"/>
    <col min="4335" max="4335" width="15.625" style="15" customWidth="1"/>
    <col min="4336" max="4336" width="21.25" style="15" customWidth="1"/>
    <col min="4337" max="4337" width="10" style="15" customWidth="1"/>
    <col min="4338" max="4339" width="12.125" style="15" customWidth="1"/>
    <col min="4340" max="4340" width="14.375" style="15" customWidth="1"/>
    <col min="4341" max="4343" width="7.375" style="15" customWidth="1"/>
    <col min="4344" max="4344" width="11.5" style="15" customWidth="1"/>
    <col min="4345" max="4585" width="19" style="15" customWidth="1"/>
    <col min="4586" max="4586" width="9" style="15"/>
    <col min="4587" max="4587" width="23.625" style="15" customWidth="1"/>
    <col min="4588" max="4588" width="7.375" style="15" customWidth="1"/>
    <col min="4589" max="4589" width="10" style="15" customWidth="1"/>
    <col min="4590" max="4590" width="26.625" style="15" customWidth="1"/>
    <col min="4591" max="4591" width="15.625" style="15" customWidth="1"/>
    <col min="4592" max="4592" width="21.25" style="15" customWidth="1"/>
    <col min="4593" max="4593" width="10" style="15" customWidth="1"/>
    <col min="4594" max="4595" width="12.125" style="15" customWidth="1"/>
    <col min="4596" max="4596" width="14.375" style="15" customWidth="1"/>
    <col min="4597" max="4599" width="7.375" style="15" customWidth="1"/>
    <col min="4600" max="4600" width="11.5" style="15" customWidth="1"/>
    <col min="4601" max="4841" width="19" style="15" customWidth="1"/>
    <col min="4842" max="4842" width="9" style="15"/>
    <col min="4843" max="4843" width="23.625" style="15" customWidth="1"/>
    <col min="4844" max="4844" width="7.375" style="15" customWidth="1"/>
    <col min="4845" max="4845" width="10" style="15" customWidth="1"/>
    <col min="4846" max="4846" width="26.625" style="15" customWidth="1"/>
    <col min="4847" max="4847" width="15.625" style="15" customWidth="1"/>
    <col min="4848" max="4848" width="21.25" style="15" customWidth="1"/>
    <col min="4849" max="4849" width="10" style="15" customWidth="1"/>
    <col min="4850" max="4851" width="12.125" style="15" customWidth="1"/>
    <col min="4852" max="4852" width="14.375" style="15" customWidth="1"/>
    <col min="4853" max="4855" width="7.375" style="15" customWidth="1"/>
    <col min="4856" max="4856" width="11.5" style="15" customWidth="1"/>
    <col min="4857" max="5097" width="19" style="15" customWidth="1"/>
    <col min="5098" max="5098" width="9" style="15"/>
    <col min="5099" max="5099" width="23.625" style="15" customWidth="1"/>
    <col min="5100" max="5100" width="7.375" style="15" customWidth="1"/>
    <col min="5101" max="5101" width="10" style="15" customWidth="1"/>
    <col min="5102" max="5102" width="26.625" style="15" customWidth="1"/>
    <col min="5103" max="5103" width="15.625" style="15" customWidth="1"/>
    <col min="5104" max="5104" width="21.25" style="15" customWidth="1"/>
    <col min="5105" max="5105" width="10" style="15" customWidth="1"/>
    <col min="5106" max="5107" width="12.125" style="15" customWidth="1"/>
    <col min="5108" max="5108" width="14.375" style="15" customWidth="1"/>
    <col min="5109" max="5111" width="7.375" style="15" customWidth="1"/>
    <col min="5112" max="5112" width="11.5" style="15" customWidth="1"/>
    <col min="5113" max="5353" width="19" style="15" customWidth="1"/>
    <col min="5354" max="5354" width="9" style="15"/>
    <col min="5355" max="5355" width="23.625" style="15" customWidth="1"/>
    <col min="5356" max="5356" width="7.375" style="15" customWidth="1"/>
    <col min="5357" max="5357" width="10" style="15" customWidth="1"/>
    <col min="5358" max="5358" width="26.625" style="15" customWidth="1"/>
    <col min="5359" max="5359" width="15.625" style="15" customWidth="1"/>
    <col min="5360" max="5360" width="21.25" style="15" customWidth="1"/>
    <col min="5361" max="5361" width="10" style="15" customWidth="1"/>
    <col min="5362" max="5363" width="12.125" style="15" customWidth="1"/>
    <col min="5364" max="5364" width="14.375" style="15" customWidth="1"/>
    <col min="5365" max="5367" width="7.375" style="15" customWidth="1"/>
    <col min="5368" max="5368" width="11.5" style="15" customWidth="1"/>
    <col min="5369" max="5609" width="19" style="15" customWidth="1"/>
    <col min="5610" max="5610" width="9" style="15"/>
    <col min="5611" max="5611" width="23.625" style="15" customWidth="1"/>
    <col min="5612" max="5612" width="7.375" style="15" customWidth="1"/>
    <col min="5613" max="5613" width="10" style="15" customWidth="1"/>
    <col min="5614" max="5614" width="26.625" style="15" customWidth="1"/>
    <col min="5615" max="5615" width="15.625" style="15" customWidth="1"/>
    <col min="5616" max="5616" width="21.25" style="15" customWidth="1"/>
    <col min="5617" max="5617" width="10" style="15" customWidth="1"/>
    <col min="5618" max="5619" width="12.125" style="15" customWidth="1"/>
    <col min="5620" max="5620" width="14.375" style="15" customWidth="1"/>
    <col min="5621" max="5623" width="7.375" style="15" customWidth="1"/>
    <col min="5624" max="5624" width="11.5" style="15" customWidth="1"/>
    <col min="5625" max="5865" width="19" style="15" customWidth="1"/>
    <col min="5866" max="5866" width="9" style="15"/>
    <col min="5867" max="5867" width="23.625" style="15" customWidth="1"/>
    <col min="5868" max="5868" width="7.375" style="15" customWidth="1"/>
    <col min="5869" max="5869" width="10" style="15" customWidth="1"/>
    <col min="5870" max="5870" width="26.625" style="15" customWidth="1"/>
    <col min="5871" max="5871" width="15.625" style="15" customWidth="1"/>
    <col min="5872" max="5872" width="21.25" style="15" customWidth="1"/>
    <col min="5873" max="5873" width="10" style="15" customWidth="1"/>
    <col min="5874" max="5875" width="12.125" style="15" customWidth="1"/>
    <col min="5876" max="5876" width="14.375" style="15" customWidth="1"/>
    <col min="5877" max="5879" width="7.375" style="15" customWidth="1"/>
    <col min="5880" max="5880" width="11.5" style="15" customWidth="1"/>
    <col min="5881" max="6121" width="19" style="15" customWidth="1"/>
    <col min="6122" max="6122" width="9" style="15"/>
    <col min="6123" max="6123" width="23.625" style="15" customWidth="1"/>
    <col min="6124" max="6124" width="7.375" style="15" customWidth="1"/>
    <col min="6125" max="6125" width="10" style="15" customWidth="1"/>
    <col min="6126" max="6126" width="26.625" style="15" customWidth="1"/>
    <col min="6127" max="6127" width="15.625" style="15" customWidth="1"/>
    <col min="6128" max="6128" width="21.25" style="15" customWidth="1"/>
    <col min="6129" max="6129" width="10" style="15" customWidth="1"/>
    <col min="6130" max="6131" width="12.125" style="15" customWidth="1"/>
    <col min="6132" max="6132" width="14.375" style="15" customWidth="1"/>
    <col min="6133" max="6135" width="7.375" style="15" customWidth="1"/>
    <col min="6136" max="6136" width="11.5" style="15" customWidth="1"/>
    <col min="6137" max="6377" width="19" style="15" customWidth="1"/>
    <col min="6378" max="6378" width="9" style="15"/>
    <col min="6379" max="6379" width="23.625" style="15" customWidth="1"/>
    <col min="6380" max="6380" width="7.375" style="15" customWidth="1"/>
    <col min="6381" max="6381" width="10" style="15" customWidth="1"/>
    <col min="6382" max="6382" width="26.625" style="15" customWidth="1"/>
    <col min="6383" max="6383" width="15.625" style="15" customWidth="1"/>
    <col min="6384" max="6384" width="21.25" style="15" customWidth="1"/>
    <col min="6385" max="6385" width="10" style="15" customWidth="1"/>
    <col min="6386" max="6387" width="12.125" style="15" customWidth="1"/>
    <col min="6388" max="6388" width="14.375" style="15" customWidth="1"/>
    <col min="6389" max="6391" width="7.375" style="15" customWidth="1"/>
    <col min="6392" max="6392" width="11.5" style="15" customWidth="1"/>
    <col min="6393" max="6633" width="19" style="15" customWidth="1"/>
    <col min="6634" max="6634" width="9" style="15"/>
    <col min="6635" max="6635" width="23.625" style="15" customWidth="1"/>
    <col min="6636" max="6636" width="7.375" style="15" customWidth="1"/>
    <col min="6637" max="6637" width="10" style="15" customWidth="1"/>
    <col min="6638" max="6638" width="26.625" style="15" customWidth="1"/>
    <col min="6639" max="6639" width="15.625" style="15" customWidth="1"/>
    <col min="6640" max="6640" width="21.25" style="15" customWidth="1"/>
    <col min="6641" max="6641" width="10" style="15" customWidth="1"/>
    <col min="6642" max="6643" width="12.125" style="15" customWidth="1"/>
    <col min="6644" max="6644" width="14.375" style="15" customWidth="1"/>
    <col min="6645" max="6647" width="7.375" style="15" customWidth="1"/>
    <col min="6648" max="6648" width="11.5" style="15" customWidth="1"/>
    <col min="6649" max="6889" width="19" style="15" customWidth="1"/>
    <col min="6890" max="6890" width="9" style="15"/>
    <col min="6891" max="6891" width="23.625" style="15" customWidth="1"/>
    <col min="6892" max="6892" width="7.375" style="15" customWidth="1"/>
    <col min="6893" max="6893" width="10" style="15" customWidth="1"/>
    <col min="6894" max="6894" width="26.625" style="15" customWidth="1"/>
    <col min="6895" max="6895" width="15.625" style="15" customWidth="1"/>
    <col min="6896" max="6896" width="21.25" style="15" customWidth="1"/>
    <col min="6897" max="6897" width="10" style="15" customWidth="1"/>
    <col min="6898" max="6899" width="12.125" style="15" customWidth="1"/>
    <col min="6900" max="6900" width="14.375" style="15" customWidth="1"/>
    <col min="6901" max="6903" width="7.375" style="15" customWidth="1"/>
    <col min="6904" max="6904" width="11.5" style="15" customWidth="1"/>
    <col min="6905" max="7145" width="19" style="15" customWidth="1"/>
    <col min="7146" max="7146" width="9" style="15"/>
    <col min="7147" max="7147" width="23.625" style="15" customWidth="1"/>
    <col min="7148" max="7148" width="7.375" style="15" customWidth="1"/>
    <col min="7149" max="7149" width="10" style="15" customWidth="1"/>
    <col min="7150" max="7150" width="26.625" style="15" customWidth="1"/>
    <col min="7151" max="7151" width="15.625" style="15" customWidth="1"/>
    <col min="7152" max="7152" width="21.25" style="15" customWidth="1"/>
    <col min="7153" max="7153" width="10" style="15" customWidth="1"/>
    <col min="7154" max="7155" width="12.125" style="15" customWidth="1"/>
    <col min="7156" max="7156" width="14.375" style="15" customWidth="1"/>
    <col min="7157" max="7159" width="7.375" style="15" customWidth="1"/>
    <col min="7160" max="7160" width="11.5" style="15" customWidth="1"/>
    <col min="7161" max="7401" width="19" style="15" customWidth="1"/>
    <col min="7402" max="7402" width="9" style="15"/>
    <col min="7403" max="7403" width="23.625" style="15" customWidth="1"/>
    <col min="7404" max="7404" width="7.375" style="15" customWidth="1"/>
    <col min="7405" max="7405" width="10" style="15" customWidth="1"/>
    <col min="7406" max="7406" width="26.625" style="15" customWidth="1"/>
    <col min="7407" max="7407" width="15.625" style="15" customWidth="1"/>
    <col min="7408" max="7408" width="21.25" style="15" customWidth="1"/>
    <col min="7409" max="7409" width="10" style="15" customWidth="1"/>
    <col min="7410" max="7411" width="12.125" style="15" customWidth="1"/>
    <col min="7412" max="7412" width="14.375" style="15" customWidth="1"/>
    <col min="7413" max="7415" width="7.375" style="15" customWidth="1"/>
    <col min="7416" max="7416" width="11.5" style="15" customWidth="1"/>
    <col min="7417" max="7657" width="19" style="15" customWidth="1"/>
    <col min="7658" max="7658" width="9" style="15"/>
    <col min="7659" max="7659" width="23.625" style="15" customWidth="1"/>
    <col min="7660" max="7660" width="7.375" style="15" customWidth="1"/>
    <col min="7661" max="7661" width="10" style="15" customWidth="1"/>
    <col min="7662" max="7662" width="26.625" style="15" customWidth="1"/>
    <col min="7663" max="7663" width="15.625" style="15" customWidth="1"/>
    <col min="7664" max="7664" width="21.25" style="15" customWidth="1"/>
    <col min="7665" max="7665" width="10" style="15" customWidth="1"/>
    <col min="7666" max="7667" width="12.125" style="15" customWidth="1"/>
    <col min="7668" max="7668" width="14.375" style="15" customWidth="1"/>
    <col min="7669" max="7671" width="7.375" style="15" customWidth="1"/>
    <col min="7672" max="7672" width="11.5" style="15" customWidth="1"/>
    <col min="7673" max="7913" width="19" style="15" customWidth="1"/>
    <col min="7914" max="7914" width="9" style="15"/>
    <col min="7915" max="7915" width="23.625" style="15" customWidth="1"/>
    <col min="7916" max="7916" width="7.375" style="15" customWidth="1"/>
    <col min="7917" max="7917" width="10" style="15" customWidth="1"/>
    <col min="7918" max="7918" width="26.625" style="15" customWidth="1"/>
    <col min="7919" max="7919" width="15.625" style="15" customWidth="1"/>
    <col min="7920" max="7920" width="21.25" style="15" customWidth="1"/>
    <col min="7921" max="7921" width="10" style="15" customWidth="1"/>
    <col min="7922" max="7923" width="12.125" style="15" customWidth="1"/>
    <col min="7924" max="7924" width="14.375" style="15" customWidth="1"/>
    <col min="7925" max="7927" width="7.375" style="15" customWidth="1"/>
    <col min="7928" max="7928" width="11.5" style="15" customWidth="1"/>
    <col min="7929" max="8169" width="19" style="15" customWidth="1"/>
    <col min="8170" max="8170" width="9" style="15"/>
    <col min="8171" max="8171" width="23.625" style="15" customWidth="1"/>
    <col min="8172" max="8172" width="7.375" style="15" customWidth="1"/>
    <col min="8173" max="8173" width="10" style="15" customWidth="1"/>
    <col min="8174" max="8174" width="26.625" style="15" customWidth="1"/>
    <col min="8175" max="8175" width="15.625" style="15" customWidth="1"/>
    <col min="8176" max="8176" width="21.25" style="15" customWidth="1"/>
    <col min="8177" max="8177" width="10" style="15" customWidth="1"/>
    <col min="8178" max="8179" width="12.125" style="15" customWidth="1"/>
    <col min="8180" max="8180" width="14.375" style="15" customWidth="1"/>
    <col min="8181" max="8183" width="7.375" style="15" customWidth="1"/>
    <col min="8184" max="8184" width="11.5" style="15" customWidth="1"/>
    <col min="8185" max="8425" width="19" style="15" customWidth="1"/>
    <col min="8426" max="8426" width="9" style="15"/>
    <col min="8427" max="8427" width="23.625" style="15" customWidth="1"/>
    <col min="8428" max="8428" width="7.375" style="15" customWidth="1"/>
    <col min="8429" max="8429" width="10" style="15" customWidth="1"/>
    <col min="8430" max="8430" width="26.625" style="15" customWidth="1"/>
    <col min="8431" max="8431" width="15.625" style="15" customWidth="1"/>
    <col min="8432" max="8432" width="21.25" style="15" customWidth="1"/>
    <col min="8433" max="8433" width="10" style="15" customWidth="1"/>
    <col min="8434" max="8435" width="12.125" style="15" customWidth="1"/>
    <col min="8436" max="8436" width="14.375" style="15" customWidth="1"/>
    <col min="8437" max="8439" width="7.375" style="15" customWidth="1"/>
    <col min="8440" max="8440" width="11.5" style="15" customWidth="1"/>
    <col min="8441" max="8681" width="19" style="15" customWidth="1"/>
    <col min="8682" max="8682" width="9" style="15"/>
    <col min="8683" max="8683" width="23.625" style="15" customWidth="1"/>
    <col min="8684" max="8684" width="7.375" style="15" customWidth="1"/>
    <col min="8685" max="8685" width="10" style="15" customWidth="1"/>
    <col min="8686" max="8686" width="26.625" style="15" customWidth="1"/>
    <col min="8687" max="8687" width="15.625" style="15" customWidth="1"/>
    <col min="8688" max="8688" width="21.25" style="15" customWidth="1"/>
    <col min="8689" max="8689" width="10" style="15" customWidth="1"/>
    <col min="8690" max="8691" width="12.125" style="15" customWidth="1"/>
    <col min="8692" max="8692" width="14.375" style="15" customWidth="1"/>
    <col min="8693" max="8695" width="7.375" style="15" customWidth="1"/>
    <col min="8696" max="8696" width="11.5" style="15" customWidth="1"/>
    <col min="8697" max="8937" width="19" style="15" customWidth="1"/>
    <col min="8938" max="8938" width="9" style="15"/>
    <col min="8939" max="8939" width="23.625" style="15" customWidth="1"/>
    <col min="8940" max="8940" width="7.375" style="15" customWidth="1"/>
    <col min="8941" max="8941" width="10" style="15" customWidth="1"/>
    <col min="8942" max="8942" width="26.625" style="15" customWidth="1"/>
    <col min="8943" max="8943" width="15.625" style="15" customWidth="1"/>
    <col min="8944" max="8944" width="21.25" style="15" customWidth="1"/>
    <col min="8945" max="8945" width="10" style="15" customWidth="1"/>
    <col min="8946" max="8947" width="12.125" style="15" customWidth="1"/>
    <col min="8948" max="8948" width="14.375" style="15" customWidth="1"/>
    <col min="8949" max="8951" width="7.375" style="15" customWidth="1"/>
    <col min="8952" max="8952" width="11.5" style="15" customWidth="1"/>
    <col min="8953" max="9193" width="19" style="15" customWidth="1"/>
    <col min="9194" max="9194" width="9" style="15"/>
    <col min="9195" max="9195" width="23.625" style="15" customWidth="1"/>
    <col min="9196" max="9196" width="7.375" style="15" customWidth="1"/>
    <col min="9197" max="9197" width="10" style="15" customWidth="1"/>
    <col min="9198" max="9198" width="26.625" style="15" customWidth="1"/>
    <col min="9199" max="9199" width="15.625" style="15" customWidth="1"/>
    <col min="9200" max="9200" width="21.25" style="15" customWidth="1"/>
    <col min="9201" max="9201" width="10" style="15" customWidth="1"/>
    <col min="9202" max="9203" width="12.125" style="15" customWidth="1"/>
    <col min="9204" max="9204" width="14.375" style="15" customWidth="1"/>
    <col min="9205" max="9207" width="7.375" style="15" customWidth="1"/>
    <col min="9208" max="9208" width="11.5" style="15" customWidth="1"/>
    <col min="9209" max="9449" width="19" style="15" customWidth="1"/>
    <col min="9450" max="9450" width="9" style="15"/>
    <col min="9451" max="9451" width="23.625" style="15" customWidth="1"/>
    <col min="9452" max="9452" width="7.375" style="15" customWidth="1"/>
    <col min="9453" max="9453" width="10" style="15" customWidth="1"/>
    <col min="9454" max="9454" width="26.625" style="15" customWidth="1"/>
    <col min="9455" max="9455" width="15.625" style="15" customWidth="1"/>
    <col min="9456" max="9456" width="21.25" style="15" customWidth="1"/>
    <col min="9457" max="9457" width="10" style="15" customWidth="1"/>
    <col min="9458" max="9459" width="12.125" style="15" customWidth="1"/>
    <col min="9460" max="9460" width="14.375" style="15" customWidth="1"/>
    <col min="9461" max="9463" width="7.375" style="15" customWidth="1"/>
    <col min="9464" max="9464" width="11.5" style="15" customWidth="1"/>
    <col min="9465" max="9705" width="19" style="15" customWidth="1"/>
    <col min="9706" max="9706" width="9" style="15"/>
    <col min="9707" max="9707" width="23.625" style="15" customWidth="1"/>
    <col min="9708" max="9708" width="7.375" style="15" customWidth="1"/>
    <col min="9709" max="9709" width="10" style="15" customWidth="1"/>
    <col min="9710" max="9710" width="26.625" style="15" customWidth="1"/>
    <col min="9711" max="9711" width="15.625" style="15" customWidth="1"/>
    <col min="9712" max="9712" width="21.25" style="15" customWidth="1"/>
    <col min="9713" max="9713" width="10" style="15" customWidth="1"/>
    <col min="9714" max="9715" width="12.125" style="15" customWidth="1"/>
    <col min="9716" max="9716" width="14.375" style="15" customWidth="1"/>
    <col min="9717" max="9719" width="7.375" style="15" customWidth="1"/>
    <col min="9720" max="9720" width="11.5" style="15" customWidth="1"/>
    <col min="9721" max="9961" width="19" style="15" customWidth="1"/>
    <col min="9962" max="9962" width="9" style="15"/>
    <col min="9963" max="9963" width="23.625" style="15" customWidth="1"/>
    <col min="9964" max="9964" width="7.375" style="15" customWidth="1"/>
    <col min="9965" max="9965" width="10" style="15" customWidth="1"/>
    <col min="9966" max="9966" width="26.625" style="15" customWidth="1"/>
    <col min="9967" max="9967" width="15.625" style="15" customWidth="1"/>
    <col min="9968" max="9968" width="21.25" style="15" customWidth="1"/>
    <col min="9969" max="9969" width="10" style="15" customWidth="1"/>
    <col min="9970" max="9971" width="12.125" style="15" customWidth="1"/>
    <col min="9972" max="9972" width="14.375" style="15" customWidth="1"/>
    <col min="9973" max="9975" width="7.375" style="15" customWidth="1"/>
    <col min="9976" max="9976" width="11.5" style="15" customWidth="1"/>
    <col min="9977" max="10217" width="19" style="15" customWidth="1"/>
    <col min="10218" max="10218" width="9" style="15"/>
    <col min="10219" max="10219" width="23.625" style="15" customWidth="1"/>
    <col min="10220" max="10220" width="7.375" style="15" customWidth="1"/>
    <col min="10221" max="10221" width="10" style="15" customWidth="1"/>
    <col min="10222" max="10222" width="26.625" style="15" customWidth="1"/>
    <col min="10223" max="10223" width="15.625" style="15" customWidth="1"/>
    <col min="10224" max="10224" width="21.25" style="15" customWidth="1"/>
    <col min="10225" max="10225" width="10" style="15" customWidth="1"/>
    <col min="10226" max="10227" width="12.125" style="15" customWidth="1"/>
    <col min="10228" max="10228" width="14.375" style="15" customWidth="1"/>
    <col min="10229" max="10231" width="7.375" style="15" customWidth="1"/>
    <col min="10232" max="10232" width="11.5" style="15" customWidth="1"/>
    <col min="10233" max="10473" width="19" style="15" customWidth="1"/>
    <col min="10474" max="10474" width="9" style="15"/>
    <col min="10475" max="10475" width="23.625" style="15" customWidth="1"/>
    <col min="10476" max="10476" width="7.375" style="15" customWidth="1"/>
    <col min="10477" max="10477" width="10" style="15" customWidth="1"/>
    <col min="10478" max="10478" width="26.625" style="15" customWidth="1"/>
    <col min="10479" max="10479" width="15.625" style="15" customWidth="1"/>
    <col min="10480" max="10480" width="21.25" style="15" customWidth="1"/>
    <col min="10481" max="10481" width="10" style="15" customWidth="1"/>
    <col min="10482" max="10483" width="12.125" style="15" customWidth="1"/>
    <col min="10484" max="10484" width="14.375" style="15" customWidth="1"/>
    <col min="10485" max="10487" width="7.375" style="15" customWidth="1"/>
    <col min="10488" max="10488" width="11.5" style="15" customWidth="1"/>
    <col min="10489" max="10729" width="19" style="15" customWidth="1"/>
    <col min="10730" max="10730" width="9" style="15"/>
    <col min="10731" max="10731" width="23.625" style="15" customWidth="1"/>
    <col min="10732" max="10732" width="7.375" style="15" customWidth="1"/>
    <col min="10733" max="10733" width="10" style="15" customWidth="1"/>
    <col min="10734" max="10734" width="26.625" style="15" customWidth="1"/>
    <col min="10735" max="10735" width="15.625" style="15" customWidth="1"/>
    <col min="10736" max="10736" width="21.25" style="15" customWidth="1"/>
    <col min="10737" max="10737" width="10" style="15" customWidth="1"/>
    <col min="10738" max="10739" width="12.125" style="15" customWidth="1"/>
    <col min="10740" max="10740" width="14.375" style="15" customWidth="1"/>
    <col min="10741" max="10743" width="7.375" style="15" customWidth="1"/>
    <col min="10744" max="10744" width="11.5" style="15" customWidth="1"/>
    <col min="10745" max="10985" width="19" style="15" customWidth="1"/>
    <col min="10986" max="10986" width="9" style="15"/>
    <col min="10987" max="10987" width="23.625" style="15" customWidth="1"/>
    <col min="10988" max="10988" width="7.375" style="15" customWidth="1"/>
    <col min="10989" max="10989" width="10" style="15" customWidth="1"/>
    <col min="10990" max="10990" width="26.625" style="15" customWidth="1"/>
    <col min="10991" max="10991" width="15.625" style="15" customWidth="1"/>
    <col min="10992" max="10992" width="21.25" style="15" customWidth="1"/>
    <col min="10993" max="10993" width="10" style="15" customWidth="1"/>
    <col min="10994" max="10995" width="12.125" style="15" customWidth="1"/>
    <col min="10996" max="10996" width="14.375" style="15" customWidth="1"/>
    <col min="10997" max="10999" width="7.375" style="15" customWidth="1"/>
    <col min="11000" max="11000" width="11.5" style="15" customWidth="1"/>
    <col min="11001" max="11241" width="19" style="15" customWidth="1"/>
    <col min="11242" max="11242" width="9" style="15"/>
    <col min="11243" max="11243" width="23.625" style="15" customWidth="1"/>
    <col min="11244" max="11244" width="7.375" style="15" customWidth="1"/>
    <col min="11245" max="11245" width="10" style="15" customWidth="1"/>
    <col min="11246" max="11246" width="26.625" style="15" customWidth="1"/>
    <col min="11247" max="11247" width="15.625" style="15" customWidth="1"/>
    <col min="11248" max="11248" width="21.25" style="15" customWidth="1"/>
    <col min="11249" max="11249" width="10" style="15" customWidth="1"/>
    <col min="11250" max="11251" width="12.125" style="15" customWidth="1"/>
    <col min="11252" max="11252" width="14.375" style="15" customWidth="1"/>
    <col min="11253" max="11255" width="7.375" style="15" customWidth="1"/>
    <col min="11256" max="11256" width="11.5" style="15" customWidth="1"/>
    <col min="11257" max="11497" width="19" style="15" customWidth="1"/>
    <col min="11498" max="11498" width="9" style="15"/>
    <col min="11499" max="11499" width="23.625" style="15" customWidth="1"/>
    <col min="11500" max="11500" width="7.375" style="15" customWidth="1"/>
    <col min="11501" max="11501" width="10" style="15" customWidth="1"/>
    <col min="11502" max="11502" width="26.625" style="15" customWidth="1"/>
    <col min="11503" max="11503" width="15.625" style="15" customWidth="1"/>
    <col min="11504" max="11504" width="21.25" style="15" customWidth="1"/>
    <col min="11505" max="11505" width="10" style="15" customWidth="1"/>
    <col min="11506" max="11507" width="12.125" style="15" customWidth="1"/>
    <col min="11508" max="11508" width="14.375" style="15" customWidth="1"/>
    <col min="11509" max="11511" width="7.375" style="15" customWidth="1"/>
    <col min="11512" max="11512" width="11.5" style="15" customWidth="1"/>
    <col min="11513" max="11753" width="19" style="15" customWidth="1"/>
    <col min="11754" max="11754" width="9" style="15"/>
    <col min="11755" max="11755" width="23.625" style="15" customWidth="1"/>
    <col min="11756" max="11756" width="7.375" style="15" customWidth="1"/>
    <col min="11757" max="11757" width="10" style="15" customWidth="1"/>
    <col min="11758" max="11758" width="26.625" style="15" customWidth="1"/>
    <col min="11759" max="11759" width="15.625" style="15" customWidth="1"/>
    <col min="11760" max="11760" width="21.25" style="15" customWidth="1"/>
    <col min="11761" max="11761" width="10" style="15" customWidth="1"/>
    <col min="11762" max="11763" width="12.125" style="15" customWidth="1"/>
    <col min="11764" max="11764" width="14.375" style="15" customWidth="1"/>
    <col min="11765" max="11767" width="7.375" style="15" customWidth="1"/>
    <col min="11768" max="11768" width="11.5" style="15" customWidth="1"/>
    <col min="11769" max="12009" width="19" style="15" customWidth="1"/>
    <col min="12010" max="12010" width="9" style="15"/>
    <col min="12011" max="12011" width="23.625" style="15" customWidth="1"/>
    <col min="12012" max="12012" width="7.375" style="15" customWidth="1"/>
    <col min="12013" max="12013" width="10" style="15" customWidth="1"/>
    <col min="12014" max="12014" width="26.625" style="15" customWidth="1"/>
    <col min="12015" max="12015" width="15.625" style="15" customWidth="1"/>
    <col min="12016" max="12016" width="21.25" style="15" customWidth="1"/>
    <col min="12017" max="12017" width="10" style="15" customWidth="1"/>
    <col min="12018" max="12019" width="12.125" style="15" customWidth="1"/>
    <col min="12020" max="12020" width="14.375" style="15" customWidth="1"/>
    <col min="12021" max="12023" width="7.375" style="15" customWidth="1"/>
    <col min="12024" max="12024" width="11.5" style="15" customWidth="1"/>
    <col min="12025" max="12265" width="19" style="15" customWidth="1"/>
    <col min="12266" max="12266" width="9" style="15"/>
    <col min="12267" max="12267" width="23.625" style="15" customWidth="1"/>
    <col min="12268" max="12268" width="7.375" style="15" customWidth="1"/>
    <col min="12269" max="12269" width="10" style="15" customWidth="1"/>
    <col min="12270" max="12270" width="26.625" style="15" customWidth="1"/>
    <col min="12271" max="12271" width="15.625" style="15" customWidth="1"/>
    <col min="12272" max="12272" width="21.25" style="15" customWidth="1"/>
    <col min="12273" max="12273" width="10" style="15" customWidth="1"/>
    <col min="12274" max="12275" width="12.125" style="15" customWidth="1"/>
    <col min="12276" max="12276" width="14.375" style="15" customWidth="1"/>
    <col min="12277" max="12279" width="7.375" style="15" customWidth="1"/>
    <col min="12280" max="12280" width="11.5" style="15" customWidth="1"/>
    <col min="12281" max="12521" width="19" style="15" customWidth="1"/>
    <col min="12522" max="12522" width="9" style="15"/>
    <col min="12523" max="12523" width="23.625" style="15" customWidth="1"/>
    <col min="12524" max="12524" width="7.375" style="15" customWidth="1"/>
    <col min="12525" max="12525" width="10" style="15" customWidth="1"/>
    <col min="12526" max="12526" width="26.625" style="15" customWidth="1"/>
    <col min="12527" max="12527" width="15.625" style="15" customWidth="1"/>
    <col min="12528" max="12528" width="21.25" style="15" customWidth="1"/>
    <col min="12529" max="12529" width="10" style="15" customWidth="1"/>
    <col min="12530" max="12531" width="12.125" style="15" customWidth="1"/>
    <col min="12532" max="12532" width="14.375" style="15" customWidth="1"/>
    <col min="12533" max="12535" width="7.375" style="15" customWidth="1"/>
    <col min="12536" max="12536" width="11.5" style="15" customWidth="1"/>
    <col min="12537" max="12777" width="19" style="15" customWidth="1"/>
    <col min="12778" max="12778" width="9" style="15"/>
    <col min="12779" max="12779" width="23.625" style="15" customWidth="1"/>
    <col min="12780" max="12780" width="7.375" style="15" customWidth="1"/>
    <col min="12781" max="12781" width="10" style="15" customWidth="1"/>
    <col min="12782" max="12782" width="26.625" style="15" customWidth="1"/>
    <col min="12783" max="12783" width="15.625" style="15" customWidth="1"/>
    <col min="12784" max="12784" width="21.25" style="15" customWidth="1"/>
    <col min="12785" max="12785" width="10" style="15" customWidth="1"/>
    <col min="12786" max="12787" width="12.125" style="15" customWidth="1"/>
    <col min="12788" max="12788" width="14.375" style="15" customWidth="1"/>
    <col min="12789" max="12791" width="7.375" style="15" customWidth="1"/>
    <col min="12792" max="12792" width="11.5" style="15" customWidth="1"/>
    <col min="12793" max="13033" width="19" style="15" customWidth="1"/>
    <col min="13034" max="13034" width="9" style="15"/>
    <col min="13035" max="13035" width="23.625" style="15" customWidth="1"/>
    <col min="13036" max="13036" width="7.375" style="15" customWidth="1"/>
    <col min="13037" max="13037" width="10" style="15" customWidth="1"/>
    <col min="13038" max="13038" width="26.625" style="15" customWidth="1"/>
    <col min="13039" max="13039" width="15.625" style="15" customWidth="1"/>
    <col min="13040" max="13040" width="21.25" style="15" customWidth="1"/>
    <col min="13041" max="13041" width="10" style="15" customWidth="1"/>
    <col min="13042" max="13043" width="12.125" style="15" customWidth="1"/>
    <col min="13044" max="13044" width="14.375" style="15" customWidth="1"/>
    <col min="13045" max="13047" width="7.375" style="15" customWidth="1"/>
    <col min="13048" max="13048" width="11.5" style="15" customWidth="1"/>
    <col min="13049" max="13289" width="19" style="15" customWidth="1"/>
    <col min="13290" max="13290" width="9" style="15"/>
    <col min="13291" max="13291" width="23.625" style="15" customWidth="1"/>
    <col min="13292" max="13292" width="7.375" style="15" customWidth="1"/>
    <col min="13293" max="13293" width="10" style="15" customWidth="1"/>
    <col min="13294" max="13294" width="26.625" style="15" customWidth="1"/>
    <col min="13295" max="13295" width="15.625" style="15" customWidth="1"/>
    <col min="13296" max="13296" width="21.25" style="15" customWidth="1"/>
    <col min="13297" max="13297" width="10" style="15" customWidth="1"/>
    <col min="13298" max="13299" width="12.125" style="15" customWidth="1"/>
    <col min="13300" max="13300" width="14.375" style="15" customWidth="1"/>
    <col min="13301" max="13303" width="7.375" style="15" customWidth="1"/>
    <col min="13304" max="13304" width="11.5" style="15" customWidth="1"/>
    <col min="13305" max="13545" width="19" style="15" customWidth="1"/>
    <col min="13546" max="13546" width="9" style="15"/>
    <col min="13547" max="13547" width="23.625" style="15" customWidth="1"/>
    <col min="13548" max="13548" width="7.375" style="15" customWidth="1"/>
    <col min="13549" max="13549" width="10" style="15" customWidth="1"/>
    <col min="13550" max="13550" width="26.625" style="15" customWidth="1"/>
    <col min="13551" max="13551" width="15.625" style="15" customWidth="1"/>
    <col min="13552" max="13552" width="21.25" style="15" customWidth="1"/>
    <col min="13553" max="13553" width="10" style="15" customWidth="1"/>
    <col min="13554" max="13555" width="12.125" style="15" customWidth="1"/>
    <col min="13556" max="13556" width="14.375" style="15" customWidth="1"/>
    <col min="13557" max="13559" width="7.375" style="15" customWidth="1"/>
    <col min="13560" max="13560" width="11.5" style="15" customWidth="1"/>
    <col min="13561" max="13801" width="19" style="15" customWidth="1"/>
    <col min="13802" max="13802" width="9" style="15"/>
    <col min="13803" max="13803" width="23.625" style="15" customWidth="1"/>
    <col min="13804" max="13804" width="7.375" style="15" customWidth="1"/>
    <col min="13805" max="13805" width="10" style="15" customWidth="1"/>
    <col min="13806" max="13806" width="26.625" style="15" customWidth="1"/>
    <col min="13807" max="13807" width="15.625" style="15" customWidth="1"/>
    <col min="13808" max="13808" width="21.25" style="15" customWidth="1"/>
    <col min="13809" max="13809" width="10" style="15" customWidth="1"/>
    <col min="13810" max="13811" width="12.125" style="15" customWidth="1"/>
    <col min="13812" max="13812" width="14.375" style="15" customWidth="1"/>
    <col min="13813" max="13815" width="7.375" style="15" customWidth="1"/>
    <col min="13816" max="13816" width="11.5" style="15" customWidth="1"/>
    <col min="13817" max="14057" width="19" style="15" customWidth="1"/>
    <col min="14058" max="14058" width="9" style="15"/>
    <col min="14059" max="14059" width="23.625" style="15" customWidth="1"/>
    <col min="14060" max="14060" width="7.375" style="15" customWidth="1"/>
    <col min="14061" max="14061" width="10" style="15" customWidth="1"/>
    <col min="14062" max="14062" width="26.625" style="15" customWidth="1"/>
    <col min="14063" max="14063" width="15.625" style="15" customWidth="1"/>
    <col min="14064" max="14064" width="21.25" style="15" customWidth="1"/>
    <col min="14065" max="14065" width="10" style="15" customWidth="1"/>
    <col min="14066" max="14067" width="12.125" style="15" customWidth="1"/>
    <col min="14068" max="14068" width="14.375" style="15" customWidth="1"/>
    <col min="14069" max="14071" width="7.375" style="15" customWidth="1"/>
    <col min="14072" max="14072" width="11.5" style="15" customWidth="1"/>
    <col min="14073" max="14313" width="19" style="15" customWidth="1"/>
    <col min="14314" max="14314" width="9" style="15"/>
    <col min="14315" max="14315" width="23.625" style="15" customWidth="1"/>
    <col min="14316" max="14316" width="7.375" style="15" customWidth="1"/>
    <col min="14317" max="14317" width="10" style="15" customWidth="1"/>
    <col min="14318" max="14318" width="26.625" style="15" customWidth="1"/>
    <col min="14319" max="14319" width="15.625" style="15" customWidth="1"/>
    <col min="14320" max="14320" width="21.25" style="15" customWidth="1"/>
    <col min="14321" max="14321" width="10" style="15" customWidth="1"/>
    <col min="14322" max="14323" width="12.125" style="15" customWidth="1"/>
    <col min="14324" max="14324" width="14.375" style="15" customWidth="1"/>
    <col min="14325" max="14327" width="7.375" style="15" customWidth="1"/>
    <col min="14328" max="14328" width="11.5" style="15" customWidth="1"/>
    <col min="14329" max="14569" width="19" style="15" customWidth="1"/>
    <col min="14570" max="14570" width="9" style="15"/>
    <col min="14571" max="14571" width="23.625" style="15" customWidth="1"/>
    <col min="14572" max="14572" width="7.375" style="15" customWidth="1"/>
    <col min="14573" max="14573" width="10" style="15" customWidth="1"/>
    <col min="14574" max="14574" width="26.625" style="15" customWidth="1"/>
    <col min="14575" max="14575" width="15.625" style="15" customWidth="1"/>
    <col min="14576" max="14576" width="21.25" style="15" customWidth="1"/>
    <col min="14577" max="14577" width="10" style="15" customWidth="1"/>
    <col min="14578" max="14579" width="12.125" style="15" customWidth="1"/>
    <col min="14580" max="14580" width="14.375" style="15" customWidth="1"/>
    <col min="14581" max="14583" width="7.375" style="15" customWidth="1"/>
    <col min="14584" max="14584" width="11.5" style="15" customWidth="1"/>
    <col min="14585" max="14825" width="19" style="15" customWidth="1"/>
    <col min="14826" max="14826" width="9" style="15"/>
    <col min="14827" max="14827" width="23.625" style="15" customWidth="1"/>
    <col min="14828" max="14828" width="7.375" style="15" customWidth="1"/>
    <col min="14829" max="14829" width="10" style="15" customWidth="1"/>
    <col min="14830" max="14830" width="26.625" style="15" customWidth="1"/>
    <col min="14831" max="14831" width="15.625" style="15" customWidth="1"/>
    <col min="14832" max="14832" width="21.25" style="15" customWidth="1"/>
    <col min="14833" max="14833" width="10" style="15" customWidth="1"/>
    <col min="14834" max="14835" width="12.125" style="15" customWidth="1"/>
    <col min="14836" max="14836" width="14.375" style="15" customWidth="1"/>
    <col min="14837" max="14839" width="7.375" style="15" customWidth="1"/>
    <col min="14840" max="14840" width="11.5" style="15" customWidth="1"/>
    <col min="14841" max="15081" width="19" style="15" customWidth="1"/>
    <col min="15082" max="15082" width="9" style="15"/>
    <col min="15083" max="15083" width="23.625" style="15" customWidth="1"/>
    <col min="15084" max="15084" width="7.375" style="15" customWidth="1"/>
    <col min="15085" max="15085" width="10" style="15" customWidth="1"/>
    <col min="15086" max="15086" width="26.625" style="15" customWidth="1"/>
    <col min="15087" max="15087" width="15.625" style="15" customWidth="1"/>
    <col min="15088" max="15088" width="21.25" style="15" customWidth="1"/>
    <col min="15089" max="15089" width="10" style="15" customWidth="1"/>
    <col min="15090" max="15091" width="12.125" style="15" customWidth="1"/>
    <col min="15092" max="15092" width="14.375" style="15" customWidth="1"/>
    <col min="15093" max="15095" width="7.375" style="15" customWidth="1"/>
    <col min="15096" max="15096" width="11.5" style="15" customWidth="1"/>
    <col min="15097" max="15337" width="19" style="15" customWidth="1"/>
    <col min="15338" max="15338" width="9" style="15"/>
    <col min="15339" max="15339" width="23.625" style="15" customWidth="1"/>
    <col min="15340" max="15340" width="7.375" style="15" customWidth="1"/>
    <col min="15341" max="15341" width="10" style="15" customWidth="1"/>
    <col min="15342" max="15342" width="26.625" style="15" customWidth="1"/>
    <col min="15343" max="15343" width="15.625" style="15" customWidth="1"/>
    <col min="15344" max="15344" width="21.25" style="15" customWidth="1"/>
    <col min="15345" max="15345" width="10" style="15" customWidth="1"/>
    <col min="15346" max="15347" width="12.125" style="15" customWidth="1"/>
    <col min="15348" max="15348" width="14.375" style="15" customWidth="1"/>
    <col min="15349" max="15351" width="7.375" style="15" customWidth="1"/>
    <col min="15352" max="15352" width="11.5" style="15" customWidth="1"/>
    <col min="15353" max="15593" width="19" style="15" customWidth="1"/>
    <col min="15594" max="15594" width="9" style="15"/>
    <col min="15595" max="15595" width="23.625" style="15" customWidth="1"/>
    <col min="15596" max="15596" width="7.375" style="15" customWidth="1"/>
    <col min="15597" max="15597" width="10" style="15" customWidth="1"/>
    <col min="15598" max="15598" width="26.625" style="15" customWidth="1"/>
    <col min="15599" max="15599" width="15.625" style="15" customWidth="1"/>
    <col min="15600" max="15600" width="21.25" style="15" customWidth="1"/>
    <col min="15601" max="15601" width="10" style="15" customWidth="1"/>
    <col min="15602" max="15603" width="12.125" style="15" customWidth="1"/>
    <col min="15604" max="15604" width="14.375" style="15" customWidth="1"/>
    <col min="15605" max="15607" width="7.375" style="15" customWidth="1"/>
    <col min="15608" max="15608" width="11.5" style="15" customWidth="1"/>
    <col min="15609" max="15849" width="19" style="15" customWidth="1"/>
    <col min="15850" max="15850" width="9" style="15"/>
    <col min="15851" max="15851" width="23.625" style="15" customWidth="1"/>
    <col min="15852" max="15852" width="7.375" style="15" customWidth="1"/>
    <col min="15853" max="15853" width="10" style="15" customWidth="1"/>
    <col min="15854" max="15854" width="26.625" style="15" customWidth="1"/>
    <col min="15855" max="15855" width="15.625" style="15" customWidth="1"/>
    <col min="15856" max="15856" width="21.25" style="15" customWidth="1"/>
    <col min="15857" max="15857" width="10" style="15" customWidth="1"/>
    <col min="15858" max="15859" width="12.125" style="15" customWidth="1"/>
    <col min="15860" max="15860" width="14.375" style="15" customWidth="1"/>
    <col min="15861" max="15863" width="7.375" style="15" customWidth="1"/>
    <col min="15864" max="15864" width="11.5" style="15" customWidth="1"/>
    <col min="15865" max="16105" width="19" style="15" customWidth="1"/>
    <col min="16106" max="16106" width="9" style="15"/>
    <col min="16107" max="16107" width="23.625" style="15" customWidth="1"/>
    <col min="16108" max="16108" width="7.375" style="15" customWidth="1"/>
    <col min="16109" max="16109" width="10" style="15" customWidth="1"/>
    <col min="16110" max="16110" width="26.625" style="15" customWidth="1"/>
    <col min="16111" max="16111" width="15.625" style="15" customWidth="1"/>
    <col min="16112" max="16112" width="21.25" style="15" customWidth="1"/>
    <col min="16113" max="16113" width="10" style="15" customWidth="1"/>
    <col min="16114" max="16115" width="12.125" style="15" customWidth="1"/>
    <col min="16116" max="16116" width="14.375" style="15" customWidth="1"/>
    <col min="16117" max="16119" width="7.375" style="15" customWidth="1"/>
    <col min="16120" max="16120" width="11.5" style="15" customWidth="1"/>
    <col min="16121" max="16361" width="19" style="15" customWidth="1"/>
    <col min="16362" max="16382" width="9" style="15"/>
  </cols>
  <sheetData>
    <row r="1" spans="1:1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27" t="s">
        <v>8</v>
      </c>
      <c r="J1" s="28" t="s">
        <v>9</v>
      </c>
    </row>
    <row r="2" spans="1:10">
      <c r="A2" s="19" t="s">
        <v>10</v>
      </c>
      <c r="B2" s="19" t="s">
        <v>11</v>
      </c>
      <c r="C2" s="63" t="s">
        <v>12</v>
      </c>
      <c r="D2" s="20" t="s">
        <v>13</v>
      </c>
      <c r="E2" s="20" t="s">
        <v>14</v>
      </c>
      <c r="F2" s="20"/>
      <c r="G2" s="19">
        <v>5</v>
      </c>
      <c r="H2" s="20">
        <v>5</v>
      </c>
      <c r="I2" s="20">
        <v>560</v>
      </c>
      <c r="J2" s="29">
        <v>18965</v>
      </c>
    </row>
    <row r="3" spans="1:10">
      <c r="A3" s="19"/>
      <c r="B3" s="21" t="s">
        <v>15</v>
      </c>
      <c r="C3" s="64" t="s">
        <v>16</v>
      </c>
      <c r="D3" s="22" t="s">
        <v>17</v>
      </c>
      <c r="E3" s="20" t="s">
        <v>14</v>
      </c>
      <c r="F3" s="22"/>
      <c r="G3" s="21">
        <v>7</v>
      </c>
      <c r="H3" s="22">
        <v>7</v>
      </c>
      <c r="I3" s="30">
        <v>558</v>
      </c>
      <c r="J3" s="30">
        <v>20253</v>
      </c>
    </row>
    <row r="4" spans="1:10">
      <c r="A4" s="19"/>
      <c r="B4" s="19" t="s">
        <v>18</v>
      </c>
      <c r="C4" s="63" t="s">
        <v>19</v>
      </c>
      <c r="D4" s="20" t="s">
        <v>20</v>
      </c>
      <c r="E4" s="20" t="s">
        <v>14</v>
      </c>
      <c r="F4" s="20"/>
      <c r="G4" s="19">
        <v>6</v>
      </c>
      <c r="H4" s="20">
        <v>6</v>
      </c>
      <c r="I4" s="29">
        <v>559</v>
      </c>
      <c r="J4" s="29">
        <v>19647</v>
      </c>
    </row>
    <row r="5" spans="1:10">
      <c r="A5" s="19"/>
      <c r="B5" s="21" t="s">
        <v>21</v>
      </c>
      <c r="C5" s="64" t="s">
        <v>22</v>
      </c>
      <c r="D5" s="22" t="s">
        <v>23</v>
      </c>
      <c r="E5" s="20" t="s">
        <v>14</v>
      </c>
      <c r="F5" s="22"/>
      <c r="G5" s="21">
        <v>5</v>
      </c>
      <c r="H5" s="22">
        <v>5</v>
      </c>
      <c r="I5" s="30">
        <v>559</v>
      </c>
      <c r="J5" s="30">
        <v>19682</v>
      </c>
    </row>
    <row r="6" spans="1:10">
      <c r="A6" s="19"/>
      <c r="B6" s="19" t="s">
        <v>24</v>
      </c>
      <c r="C6" s="63" t="s">
        <v>25</v>
      </c>
      <c r="D6" s="20" t="s">
        <v>26</v>
      </c>
      <c r="E6" s="20" t="s">
        <v>14</v>
      </c>
      <c r="F6" s="20"/>
      <c r="G6" s="19">
        <v>12</v>
      </c>
      <c r="H6" s="20">
        <v>12</v>
      </c>
      <c r="I6" s="29">
        <v>557</v>
      </c>
      <c r="J6" s="29">
        <v>20724</v>
      </c>
    </row>
    <row r="7" spans="1:10">
      <c r="A7" s="19"/>
      <c r="B7" s="21" t="s">
        <v>27</v>
      </c>
      <c r="C7" s="64" t="s">
        <v>28</v>
      </c>
      <c r="D7" s="22" t="s">
        <v>29</v>
      </c>
      <c r="E7" s="20" t="s">
        <v>14</v>
      </c>
      <c r="F7" s="22"/>
      <c r="G7" s="21">
        <v>4</v>
      </c>
      <c r="H7" s="22">
        <v>4</v>
      </c>
      <c r="I7" s="30">
        <v>580</v>
      </c>
      <c r="J7" s="30">
        <v>11082</v>
      </c>
    </row>
    <row r="8" spans="1:10">
      <c r="A8" s="19"/>
      <c r="B8" s="19" t="s">
        <v>30</v>
      </c>
      <c r="C8" s="63" t="s">
        <v>31</v>
      </c>
      <c r="D8" s="20" t="s">
        <v>32</v>
      </c>
      <c r="E8" s="20" t="s">
        <v>14</v>
      </c>
      <c r="F8" s="20"/>
      <c r="G8" s="19">
        <v>6</v>
      </c>
      <c r="H8" s="20">
        <v>6</v>
      </c>
      <c r="I8" s="29">
        <v>556</v>
      </c>
      <c r="J8" s="29">
        <v>21089</v>
      </c>
    </row>
    <row r="9" spans="1:10">
      <c r="A9" s="19"/>
      <c r="B9" s="21">
        <v>108</v>
      </c>
      <c r="C9" s="64" t="s">
        <v>33</v>
      </c>
      <c r="D9" s="22" t="s">
        <v>34</v>
      </c>
      <c r="E9" s="20" t="s">
        <v>14</v>
      </c>
      <c r="F9" s="22"/>
      <c r="G9" s="21">
        <v>5</v>
      </c>
      <c r="H9" s="22">
        <v>5</v>
      </c>
      <c r="I9" s="30">
        <v>556</v>
      </c>
      <c r="J9" s="30">
        <v>20845</v>
      </c>
    </row>
    <row r="10" spans="1:10">
      <c r="A10" s="19"/>
      <c r="B10" s="19">
        <v>109</v>
      </c>
      <c r="C10" s="63" t="s">
        <v>35</v>
      </c>
      <c r="D10" s="20" t="s">
        <v>36</v>
      </c>
      <c r="E10" s="20" t="s">
        <v>14</v>
      </c>
      <c r="F10" s="20"/>
      <c r="G10" s="19">
        <v>3</v>
      </c>
      <c r="H10" s="20">
        <v>3</v>
      </c>
      <c r="I10" s="29">
        <v>554</v>
      </c>
      <c r="J10" s="29">
        <v>22078</v>
      </c>
    </row>
    <row r="11" spans="1:10">
      <c r="A11" s="19"/>
      <c r="B11" s="21">
        <v>110</v>
      </c>
      <c r="C11" s="64" t="s">
        <v>37</v>
      </c>
      <c r="D11" s="22" t="s">
        <v>38</v>
      </c>
      <c r="E11" s="20" t="s">
        <v>14</v>
      </c>
      <c r="F11" s="22"/>
      <c r="G11" s="21">
        <v>7</v>
      </c>
      <c r="H11" s="22">
        <v>7</v>
      </c>
      <c r="I11" s="30">
        <v>543</v>
      </c>
      <c r="J11" s="30">
        <v>27659</v>
      </c>
    </row>
    <row r="12" spans="1:10">
      <c r="A12" s="19"/>
      <c r="B12" s="19"/>
      <c r="C12" s="19"/>
      <c r="D12" s="20" t="s">
        <v>39</v>
      </c>
      <c r="E12" s="20"/>
      <c r="F12" s="20"/>
      <c r="G12" s="19">
        <f>SUM(G2:G11)</f>
        <v>60</v>
      </c>
      <c r="H12" s="19">
        <f>SUM(H2:H11)</f>
        <v>60</v>
      </c>
      <c r="I12" s="20">
        <v>543</v>
      </c>
      <c r="J12" s="20">
        <f>MAX(J2:J11)</f>
        <v>27659</v>
      </c>
    </row>
    <row r="13" spans="1:10">
      <c r="A13" s="19" t="s">
        <v>40</v>
      </c>
      <c r="B13" s="19">
        <v>111</v>
      </c>
      <c r="C13" s="19" t="s">
        <v>41</v>
      </c>
      <c r="D13" s="20" t="s">
        <v>13</v>
      </c>
      <c r="E13" s="20" t="s">
        <v>42</v>
      </c>
      <c r="F13" s="20"/>
      <c r="G13" s="19">
        <v>5</v>
      </c>
      <c r="H13" s="20">
        <v>5</v>
      </c>
      <c r="I13" s="20">
        <v>556</v>
      </c>
      <c r="J13" s="20">
        <v>72458</v>
      </c>
    </row>
    <row r="14" spans="1:10">
      <c r="A14" s="19"/>
      <c r="B14" s="21">
        <v>112</v>
      </c>
      <c r="C14" s="21" t="s">
        <v>43</v>
      </c>
      <c r="D14" s="22" t="s">
        <v>23</v>
      </c>
      <c r="E14" s="20" t="s">
        <v>42</v>
      </c>
      <c r="F14" s="22"/>
      <c r="G14" s="21">
        <v>5</v>
      </c>
      <c r="H14" s="22">
        <v>5</v>
      </c>
      <c r="I14" s="22">
        <v>559</v>
      </c>
      <c r="J14" s="22">
        <v>68997</v>
      </c>
    </row>
    <row r="15" spans="1:10">
      <c r="A15" s="19"/>
      <c r="B15" s="19">
        <v>113</v>
      </c>
      <c r="C15" s="19" t="s">
        <v>44</v>
      </c>
      <c r="D15" s="20" t="s">
        <v>17</v>
      </c>
      <c r="E15" s="20" t="s">
        <v>42</v>
      </c>
      <c r="F15" s="20"/>
      <c r="G15" s="19">
        <v>8</v>
      </c>
      <c r="H15" s="20">
        <v>8</v>
      </c>
      <c r="I15" s="20">
        <v>558</v>
      </c>
      <c r="J15" s="20">
        <v>70238</v>
      </c>
    </row>
    <row r="16" spans="1:10">
      <c r="A16" s="19"/>
      <c r="B16" s="21">
        <v>114</v>
      </c>
      <c r="C16" s="21" t="s">
        <v>45</v>
      </c>
      <c r="D16" s="22" t="s">
        <v>20</v>
      </c>
      <c r="E16" s="20" t="s">
        <v>42</v>
      </c>
      <c r="F16" s="22"/>
      <c r="G16" s="21">
        <v>6</v>
      </c>
      <c r="H16" s="22">
        <v>6</v>
      </c>
      <c r="I16" s="22">
        <v>556</v>
      </c>
      <c r="J16" s="31">
        <v>73363</v>
      </c>
    </row>
    <row r="17" spans="1:10">
      <c r="A17" s="19"/>
      <c r="B17" s="19">
        <v>115</v>
      </c>
      <c r="C17" s="19" t="s">
        <v>46</v>
      </c>
      <c r="D17" s="20" t="s">
        <v>29</v>
      </c>
      <c r="E17" s="20" t="s">
        <v>42</v>
      </c>
      <c r="F17" s="20"/>
      <c r="G17" s="19">
        <v>4</v>
      </c>
      <c r="H17" s="20">
        <v>4</v>
      </c>
      <c r="I17" s="20">
        <v>579</v>
      </c>
      <c r="J17" s="20">
        <v>45440</v>
      </c>
    </row>
    <row r="18" spans="1:10">
      <c r="A18" s="19"/>
      <c r="B18" s="21">
        <v>116</v>
      </c>
      <c r="C18" s="21" t="s">
        <v>47</v>
      </c>
      <c r="D18" s="22" t="s">
        <v>32</v>
      </c>
      <c r="E18" s="20" t="s">
        <v>42</v>
      </c>
      <c r="F18" s="22"/>
      <c r="G18" s="21">
        <v>6</v>
      </c>
      <c r="H18" s="22">
        <v>6</v>
      </c>
      <c r="I18" s="22">
        <v>550</v>
      </c>
      <c r="J18" s="22">
        <v>81201</v>
      </c>
    </row>
    <row r="19" spans="1:10">
      <c r="A19" s="19"/>
      <c r="B19" s="19">
        <v>117</v>
      </c>
      <c r="C19" s="19" t="s">
        <v>48</v>
      </c>
      <c r="D19" s="20" t="s">
        <v>26</v>
      </c>
      <c r="E19" s="20" t="s">
        <v>42</v>
      </c>
      <c r="F19" s="20"/>
      <c r="G19" s="19">
        <v>11</v>
      </c>
      <c r="H19" s="20">
        <v>11</v>
      </c>
      <c r="I19" s="20">
        <v>548</v>
      </c>
      <c r="J19" s="20">
        <v>83376</v>
      </c>
    </row>
    <row r="20" spans="1:10">
      <c r="A20" s="19"/>
      <c r="B20" s="21">
        <v>118</v>
      </c>
      <c r="C20" s="21" t="s">
        <v>49</v>
      </c>
      <c r="D20" s="22" t="s">
        <v>34</v>
      </c>
      <c r="E20" s="20" t="s">
        <v>42</v>
      </c>
      <c r="F20" s="22"/>
      <c r="G20" s="21">
        <v>5</v>
      </c>
      <c r="H20" s="22">
        <v>5</v>
      </c>
      <c r="I20" s="22">
        <v>547</v>
      </c>
      <c r="J20" s="22">
        <v>85243</v>
      </c>
    </row>
    <row r="21" spans="1:10">
      <c r="A21" s="19"/>
      <c r="B21" s="19">
        <v>119</v>
      </c>
      <c r="C21" s="19" t="s">
        <v>50</v>
      </c>
      <c r="D21" s="20" t="s">
        <v>36</v>
      </c>
      <c r="E21" s="20" t="s">
        <v>42</v>
      </c>
      <c r="F21" s="20"/>
      <c r="G21" s="19">
        <v>3</v>
      </c>
      <c r="H21" s="20">
        <v>3</v>
      </c>
      <c r="I21" s="20">
        <v>542</v>
      </c>
      <c r="J21" s="20">
        <v>92908</v>
      </c>
    </row>
    <row r="22" spans="1:10">
      <c r="A22" s="19"/>
      <c r="B22" s="21">
        <v>120</v>
      </c>
      <c r="C22" s="21" t="s">
        <v>51</v>
      </c>
      <c r="D22" s="22" t="s">
        <v>38</v>
      </c>
      <c r="E22" s="20" t="s">
        <v>42</v>
      </c>
      <c r="F22" s="22"/>
      <c r="G22" s="21">
        <v>7</v>
      </c>
      <c r="H22" s="22">
        <v>7</v>
      </c>
      <c r="I22" s="22">
        <v>538</v>
      </c>
      <c r="J22" s="22">
        <v>98925</v>
      </c>
    </row>
    <row r="23" spans="1:10">
      <c r="A23" s="19"/>
      <c r="B23" s="20"/>
      <c r="C23" s="23"/>
      <c r="D23" s="20" t="s">
        <v>52</v>
      </c>
      <c r="E23" s="20"/>
      <c r="F23" s="20"/>
      <c r="G23" s="20">
        <f>SUM(G13:G22)</f>
        <v>60</v>
      </c>
      <c r="H23" s="20">
        <f>SUM(H13:H22)</f>
        <v>60</v>
      </c>
      <c r="I23" s="20">
        <v>544</v>
      </c>
      <c r="J23" s="20">
        <f>MAX(J13:J22)</f>
        <v>98925</v>
      </c>
    </row>
    <row r="24" spans="1:10">
      <c r="A24" s="19" t="s">
        <v>53</v>
      </c>
      <c r="B24" s="19">
        <v>121</v>
      </c>
      <c r="C24" s="63" t="s">
        <v>54</v>
      </c>
      <c r="D24" s="20" t="s">
        <v>55</v>
      </c>
      <c r="E24" s="20" t="s">
        <v>56</v>
      </c>
      <c r="F24" s="24" t="s">
        <v>57</v>
      </c>
      <c r="G24" s="19">
        <v>1</v>
      </c>
      <c r="H24" s="20">
        <v>1</v>
      </c>
      <c r="I24" s="20">
        <v>603</v>
      </c>
      <c r="J24" s="20">
        <v>366</v>
      </c>
    </row>
    <row r="25" spans="1:10">
      <c r="A25" s="19"/>
      <c r="B25" s="21">
        <v>122</v>
      </c>
      <c r="C25" s="64" t="s">
        <v>58</v>
      </c>
      <c r="D25" s="22" t="s">
        <v>59</v>
      </c>
      <c r="E25" s="20" t="s">
        <v>56</v>
      </c>
      <c r="F25" s="24" t="s">
        <v>57</v>
      </c>
      <c r="G25" s="21">
        <v>2</v>
      </c>
      <c r="H25" s="22">
        <v>2</v>
      </c>
      <c r="I25" s="22">
        <v>592</v>
      </c>
      <c r="J25" s="22">
        <v>680</v>
      </c>
    </row>
    <row r="26" spans="1:10">
      <c r="A26" s="19"/>
      <c r="B26" s="19">
        <v>123</v>
      </c>
      <c r="C26" s="63" t="s">
        <v>60</v>
      </c>
      <c r="D26" s="20" t="s">
        <v>61</v>
      </c>
      <c r="E26" s="20" t="s">
        <v>56</v>
      </c>
      <c r="F26" s="24" t="s">
        <v>57</v>
      </c>
      <c r="G26" s="19">
        <v>5</v>
      </c>
      <c r="H26" s="20">
        <v>5</v>
      </c>
      <c r="I26" s="20">
        <v>586</v>
      </c>
      <c r="J26" s="20">
        <v>880</v>
      </c>
    </row>
    <row r="27" spans="1:10">
      <c r="A27" s="19"/>
      <c r="B27" s="21">
        <v>124</v>
      </c>
      <c r="C27" s="64" t="s">
        <v>62</v>
      </c>
      <c r="D27" s="22" t="s">
        <v>63</v>
      </c>
      <c r="E27" s="20" t="s">
        <v>56</v>
      </c>
      <c r="F27" s="24" t="s">
        <v>57</v>
      </c>
      <c r="G27" s="21">
        <v>1</v>
      </c>
      <c r="H27" s="22">
        <v>1</v>
      </c>
      <c r="I27" s="22">
        <v>585</v>
      </c>
      <c r="J27" s="22">
        <v>926</v>
      </c>
    </row>
    <row r="28" spans="1:10">
      <c r="A28" s="19"/>
      <c r="B28" s="19">
        <v>125</v>
      </c>
      <c r="C28" s="63" t="s">
        <v>64</v>
      </c>
      <c r="D28" s="20" t="s">
        <v>65</v>
      </c>
      <c r="E28" s="20" t="s">
        <v>56</v>
      </c>
      <c r="F28" s="24" t="s">
        <v>57</v>
      </c>
      <c r="G28" s="19">
        <v>3</v>
      </c>
      <c r="H28" s="20">
        <v>3</v>
      </c>
      <c r="I28" s="20">
        <v>596</v>
      </c>
      <c r="J28" s="20">
        <v>530</v>
      </c>
    </row>
    <row r="29" spans="1:10">
      <c r="A29" s="19"/>
      <c r="B29" s="21">
        <v>126</v>
      </c>
      <c r="C29" s="64" t="s">
        <v>66</v>
      </c>
      <c r="D29" s="22" t="s">
        <v>67</v>
      </c>
      <c r="E29" s="20" t="s">
        <v>56</v>
      </c>
      <c r="F29" s="24" t="s">
        <v>57</v>
      </c>
      <c r="G29" s="21">
        <v>4</v>
      </c>
      <c r="H29" s="22">
        <v>4</v>
      </c>
      <c r="I29" s="22">
        <v>604</v>
      </c>
      <c r="J29" s="22">
        <v>344</v>
      </c>
    </row>
    <row r="30" spans="1:10">
      <c r="A30" s="19"/>
      <c r="B30" s="19">
        <v>127</v>
      </c>
      <c r="C30" s="63" t="s">
        <v>68</v>
      </c>
      <c r="D30" s="20" t="s">
        <v>69</v>
      </c>
      <c r="E30" s="20" t="s">
        <v>56</v>
      </c>
      <c r="F30" s="24" t="s">
        <v>57</v>
      </c>
      <c r="G30" s="19">
        <v>1</v>
      </c>
      <c r="H30" s="20">
        <v>1</v>
      </c>
      <c r="I30" s="20">
        <v>589</v>
      </c>
      <c r="J30" s="20">
        <v>785</v>
      </c>
    </row>
    <row r="31" spans="1:10">
      <c r="A31" s="19"/>
      <c r="B31" s="21">
        <v>128</v>
      </c>
      <c r="C31" s="64" t="s">
        <v>70</v>
      </c>
      <c r="D31" s="22" t="s">
        <v>71</v>
      </c>
      <c r="E31" s="20" t="s">
        <v>56</v>
      </c>
      <c r="F31" s="24" t="s">
        <v>57</v>
      </c>
      <c r="G31" s="21">
        <v>8</v>
      </c>
      <c r="H31" s="22">
        <v>8</v>
      </c>
      <c r="I31" s="22">
        <v>577</v>
      </c>
      <c r="J31" s="22">
        <v>1230</v>
      </c>
    </row>
    <row r="32" spans="1:10">
      <c r="A32" s="19"/>
      <c r="B32" s="20"/>
      <c r="C32" s="23"/>
      <c r="D32" s="20" t="s">
        <v>72</v>
      </c>
      <c r="E32" s="20"/>
      <c r="F32" s="20"/>
      <c r="G32" s="20">
        <f>SUM(G24:G31)</f>
        <v>25</v>
      </c>
      <c r="H32" s="20">
        <f>SUM(H24:H31)</f>
        <v>25</v>
      </c>
      <c r="I32" s="20">
        <f>MIN(I24:I31)</f>
        <v>577</v>
      </c>
      <c r="J32" s="20">
        <v>1230</v>
      </c>
    </row>
    <row r="33" spans="1:10">
      <c r="A33" s="19" t="s">
        <v>73</v>
      </c>
      <c r="B33" s="20">
        <v>129</v>
      </c>
      <c r="C33" s="20" t="s">
        <v>74</v>
      </c>
      <c r="D33" s="20" t="s">
        <v>75</v>
      </c>
      <c r="E33" s="25" t="s">
        <v>76</v>
      </c>
      <c r="F33" s="24" t="s">
        <v>57</v>
      </c>
      <c r="G33" s="20">
        <v>8</v>
      </c>
      <c r="H33" s="20">
        <v>8</v>
      </c>
      <c r="I33" s="20">
        <v>571</v>
      </c>
      <c r="J33" s="20">
        <v>53674</v>
      </c>
    </row>
    <row r="34" spans="1:10">
      <c r="A34" s="19"/>
      <c r="B34" s="22">
        <v>131</v>
      </c>
      <c r="C34" s="22" t="s">
        <v>77</v>
      </c>
      <c r="D34" s="22" t="s">
        <v>78</v>
      </c>
      <c r="E34" s="25" t="s">
        <v>76</v>
      </c>
      <c r="F34" s="24" t="s">
        <v>57</v>
      </c>
      <c r="G34" s="22">
        <v>2</v>
      </c>
      <c r="H34" s="22">
        <v>2</v>
      </c>
      <c r="I34" s="22">
        <v>542</v>
      </c>
      <c r="J34" s="22">
        <v>93024</v>
      </c>
    </row>
    <row r="35" s="11" customFormat="1" spans="1:234">
      <c r="A35" s="19"/>
      <c r="B35" s="20">
        <v>132</v>
      </c>
      <c r="C35" s="20" t="s">
        <v>79</v>
      </c>
      <c r="D35" s="20" t="s">
        <v>80</v>
      </c>
      <c r="E35" s="25" t="s">
        <v>76</v>
      </c>
      <c r="F35" s="24" t="s">
        <v>57</v>
      </c>
      <c r="G35" s="20">
        <v>5</v>
      </c>
      <c r="H35" s="20">
        <v>5</v>
      </c>
      <c r="I35" s="20">
        <v>541</v>
      </c>
      <c r="J35" s="20">
        <v>95173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</row>
    <row r="36" spans="1:10">
      <c r="A36" s="19"/>
      <c r="B36" s="22">
        <v>133</v>
      </c>
      <c r="C36" s="22" t="s">
        <v>81</v>
      </c>
      <c r="D36" s="22" t="s">
        <v>82</v>
      </c>
      <c r="E36" s="25" t="s">
        <v>76</v>
      </c>
      <c r="F36" s="24" t="s">
        <v>57</v>
      </c>
      <c r="G36" s="22">
        <v>8</v>
      </c>
      <c r="H36" s="22">
        <v>8</v>
      </c>
      <c r="I36" s="22">
        <v>544</v>
      </c>
      <c r="J36" s="22">
        <v>90585</v>
      </c>
    </row>
    <row r="37" spans="1:10">
      <c r="A37" s="19"/>
      <c r="B37" s="20">
        <v>134</v>
      </c>
      <c r="C37" s="20" t="s">
        <v>83</v>
      </c>
      <c r="D37" s="20" t="s">
        <v>84</v>
      </c>
      <c r="E37" s="25" t="s">
        <v>76</v>
      </c>
      <c r="F37" s="24" t="s">
        <v>57</v>
      </c>
      <c r="G37" s="20">
        <v>5</v>
      </c>
      <c r="H37" s="20">
        <v>5</v>
      </c>
      <c r="I37" s="20">
        <v>542</v>
      </c>
      <c r="J37" s="20">
        <v>92633</v>
      </c>
    </row>
    <row r="38" spans="1:10">
      <c r="A38" s="19"/>
      <c r="B38" s="22">
        <v>135</v>
      </c>
      <c r="C38" s="22" t="s">
        <v>85</v>
      </c>
      <c r="D38" s="22" t="s">
        <v>86</v>
      </c>
      <c r="E38" s="25" t="s">
        <v>76</v>
      </c>
      <c r="F38" s="24" t="s">
        <v>57</v>
      </c>
      <c r="G38" s="22">
        <v>5</v>
      </c>
      <c r="H38" s="22">
        <v>5</v>
      </c>
      <c r="I38" s="22">
        <v>543</v>
      </c>
      <c r="J38" s="22">
        <v>91019</v>
      </c>
    </row>
    <row r="39" spans="1:10">
      <c r="A39" s="19"/>
      <c r="B39" s="20">
        <v>136</v>
      </c>
      <c r="C39" s="20" t="s">
        <v>87</v>
      </c>
      <c r="D39" s="20" t="s">
        <v>88</v>
      </c>
      <c r="E39" s="25" t="s">
        <v>76</v>
      </c>
      <c r="F39" s="24" t="s">
        <v>57</v>
      </c>
      <c r="G39" s="20">
        <v>3</v>
      </c>
      <c r="H39" s="20">
        <v>3</v>
      </c>
      <c r="I39" s="20">
        <v>558</v>
      </c>
      <c r="J39" s="20">
        <v>70297</v>
      </c>
    </row>
    <row r="40" spans="1:10">
      <c r="A40" s="19"/>
      <c r="B40" s="22">
        <v>137</v>
      </c>
      <c r="C40" s="22" t="s">
        <v>89</v>
      </c>
      <c r="D40" s="22" t="s">
        <v>90</v>
      </c>
      <c r="E40" s="25" t="s">
        <v>76</v>
      </c>
      <c r="F40" s="24" t="s">
        <v>57</v>
      </c>
      <c r="G40" s="22">
        <v>4</v>
      </c>
      <c r="H40" s="22">
        <v>4</v>
      </c>
      <c r="I40" s="22">
        <v>555</v>
      </c>
      <c r="J40" s="22">
        <v>74763</v>
      </c>
    </row>
    <row r="41" spans="1:10">
      <c r="A41" s="19"/>
      <c r="B41" s="20">
        <v>138</v>
      </c>
      <c r="C41" s="20" t="s">
        <v>91</v>
      </c>
      <c r="D41" s="20" t="s">
        <v>92</v>
      </c>
      <c r="E41" s="25" t="s">
        <v>76</v>
      </c>
      <c r="F41" s="24" t="s">
        <v>57</v>
      </c>
      <c r="G41" s="20">
        <v>2</v>
      </c>
      <c r="H41" s="20">
        <v>2</v>
      </c>
      <c r="I41" s="20">
        <v>554</v>
      </c>
      <c r="J41" s="20">
        <v>75851</v>
      </c>
    </row>
    <row r="42" spans="1:10">
      <c r="A42" s="19"/>
      <c r="B42" s="22">
        <v>139</v>
      </c>
      <c r="C42" s="22" t="s">
        <v>93</v>
      </c>
      <c r="D42" s="22" t="s">
        <v>94</v>
      </c>
      <c r="E42" s="25" t="s">
        <v>76</v>
      </c>
      <c r="F42" s="24" t="s">
        <v>57</v>
      </c>
      <c r="G42" s="22">
        <v>7</v>
      </c>
      <c r="H42" s="22">
        <v>7</v>
      </c>
      <c r="I42" s="22">
        <v>554</v>
      </c>
      <c r="J42" s="22">
        <v>75050</v>
      </c>
    </row>
    <row r="43" spans="1:10">
      <c r="A43" s="19"/>
      <c r="B43" s="20">
        <v>140</v>
      </c>
      <c r="C43" s="20" t="s">
        <v>95</v>
      </c>
      <c r="D43" s="20" t="s">
        <v>96</v>
      </c>
      <c r="E43" s="25" t="s">
        <v>76</v>
      </c>
      <c r="F43" s="24" t="s">
        <v>57</v>
      </c>
      <c r="G43" s="20">
        <v>4</v>
      </c>
      <c r="H43" s="20">
        <v>4</v>
      </c>
      <c r="I43" s="20">
        <v>561</v>
      </c>
      <c r="J43" s="20">
        <v>65543</v>
      </c>
    </row>
    <row r="44" spans="1:10">
      <c r="A44" s="19"/>
      <c r="B44" s="22">
        <v>141</v>
      </c>
      <c r="C44" s="22" t="s">
        <v>97</v>
      </c>
      <c r="D44" s="22" t="s">
        <v>98</v>
      </c>
      <c r="E44" s="25" t="s">
        <v>76</v>
      </c>
      <c r="F44" s="24" t="s">
        <v>57</v>
      </c>
      <c r="G44" s="22">
        <v>1</v>
      </c>
      <c r="H44" s="22">
        <v>1</v>
      </c>
      <c r="I44" s="22">
        <v>556</v>
      </c>
      <c r="J44" s="22">
        <v>72330</v>
      </c>
    </row>
    <row r="45" spans="1:10">
      <c r="A45" s="19"/>
      <c r="B45" s="20">
        <v>142</v>
      </c>
      <c r="C45" s="20" t="s">
        <v>99</v>
      </c>
      <c r="D45" s="20" t="s">
        <v>100</v>
      </c>
      <c r="E45" s="25" t="s">
        <v>76</v>
      </c>
      <c r="F45" s="24" t="s">
        <v>57</v>
      </c>
      <c r="G45" s="20">
        <v>6</v>
      </c>
      <c r="H45" s="20">
        <v>6</v>
      </c>
      <c r="I45" s="20">
        <v>545</v>
      </c>
      <c r="J45" s="20">
        <v>88830</v>
      </c>
    </row>
    <row r="46" spans="1:10">
      <c r="A46" s="19"/>
      <c r="B46" s="22">
        <v>143</v>
      </c>
      <c r="C46" s="22" t="s">
        <v>101</v>
      </c>
      <c r="D46" s="22" t="s">
        <v>102</v>
      </c>
      <c r="E46" s="25" t="s">
        <v>76</v>
      </c>
      <c r="F46" s="24" t="s">
        <v>57</v>
      </c>
      <c r="G46" s="22">
        <v>5</v>
      </c>
      <c r="H46" s="22">
        <v>5</v>
      </c>
      <c r="I46" s="22">
        <v>543</v>
      </c>
      <c r="J46" s="22">
        <v>90775</v>
      </c>
    </row>
    <row r="47" spans="1:10">
      <c r="A47" s="19"/>
      <c r="B47" s="20">
        <v>144</v>
      </c>
      <c r="C47" s="20" t="s">
        <v>103</v>
      </c>
      <c r="D47" s="20" t="s">
        <v>104</v>
      </c>
      <c r="E47" s="25" t="s">
        <v>76</v>
      </c>
      <c r="F47" s="24" t="s">
        <v>57</v>
      </c>
      <c r="G47" s="20">
        <v>5</v>
      </c>
      <c r="H47" s="20">
        <v>5</v>
      </c>
      <c r="I47" s="20">
        <v>536</v>
      </c>
      <c r="J47" s="20">
        <v>101753</v>
      </c>
    </row>
    <row r="48" spans="1:10">
      <c r="A48" s="19"/>
      <c r="B48" s="22">
        <v>145</v>
      </c>
      <c r="C48" s="22" t="s">
        <v>105</v>
      </c>
      <c r="D48" s="22" t="s">
        <v>106</v>
      </c>
      <c r="E48" s="25" t="s">
        <v>76</v>
      </c>
      <c r="F48" s="24" t="s">
        <v>57</v>
      </c>
      <c r="G48" s="22">
        <v>3</v>
      </c>
      <c r="H48" s="22">
        <v>3</v>
      </c>
      <c r="I48" s="22">
        <v>536</v>
      </c>
      <c r="J48" s="22">
        <v>102952</v>
      </c>
    </row>
    <row r="49" s="12" customFormat="1" spans="1:234">
      <c r="A49" s="19"/>
      <c r="B49" s="20">
        <v>146</v>
      </c>
      <c r="C49" s="20" t="s">
        <v>107</v>
      </c>
      <c r="D49" s="20" t="s">
        <v>108</v>
      </c>
      <c r="E49" s="25" t="s">
        <v>76</v>
      </c>
      <c r="F49" s="24" t="s">
        <v>57</v>
      </c>
      <c r="G49" s="20">
        <v>6</v>
      </c>
      <c r="H49" s="20">
        <v>6</v>
      </c>
      <c r="I49" s="20">
        <v>538</v>
      </c>
      <c r="J49" s="20">
        <v>98625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/>
      <c r="HQ49" s="33"/>
      <c r="HR49" s="33"/>
      <c r="HS49" s="33"/>
      <c r="HT49" s="33"/>
      <c r="HU49" s="33"/>
      <c r="HV49" s="33"/>
      <c r="HW49" s="33"/>
      <c r="HX49" s="33"/>
      <c r="HY49" s="33"/>
      <c r="HZ49" s="33"/>
    </row>
    <row r="50" spans="1:10">
      <c r="A50" s="19"/>
      <c r="B50" s="22">
        <v>147</v>
      </c>
      <c r="C50" s="22" t="s">
        <v>109</v>
      </c>
      <c r="D50" s="22" t="s">
        <v>110</v>
      </c>
      <c r="E50" s="25" t="s">
        <v>76</v>
      </c>
      <c r="F50" s="24" t="s">
        <v>57</v>
      </c>
      <c r="G50" s="22">
        <v>3</v>
      </c>
      <c r="H50" s="22">
        <v>3</v>
      </c>
      <c r="I50" s="22">
        <v>561</v>
      </c>
      <c r="J50" s="22">
        <v>65894</v>
      </c>
    </row>
    <row r="51" spans="1:10">
      <c r="A51" s="19"/>
      <c r="B51" s="20">
        <v>148</v>
      </c>
      <c r="C51" s="20" t="s">
        <v>111</v>
      </c>
      <c r="D51" s="20" t="s">
        <v>112</v>
      </c>
      <c r="E51" s="25" t="s">
        <v>76</v>
      </c>
      <c r="F51" s="24" t="s">
        <v>57</v>
      </c>
      <c r="G51" s="20">
        <v>50</v>
      </c>
      <c r="H51" s="20">
        <v>50</v>
      </c>
      <c r="I51" s="20">
        <v>544</v>
      </c>
      <c r="J51" s="20">
        <v>90298</v>
      </c>
    </row>
    <row r="52" spans="1:10">
      <c r="A52" s="19"/>
      <c r="B52" s="22">
        <v>149</v>
      </c>
      <c r="C52" s="22" t="s">
        <v>113</v>
      </c>
      <c r="D52" s="22" t="s">
        <v>114</v>
      </c>
      <c r="E52" s="25" t="s">
        <v>76</v>
      </c>
      <c r="F52" s="24" t="s">
        <v>57</v>
      </c>
      <c r="G52" s="22">
        <v>53</v>
      </c>
      <c r="H52" s="22">
        <v>53</v>
      </c>
      <c r="I52" s="22">
        <v>535</v>
      </c>
      <c r="J52" s="22">
        <v>104591</v>
      </c>
    </row>
    <row r="53" spans="1:10">
      <c r="A53" s="19"/>
      <c r="B53" s="20">
        <v>150</v>
      </c>
      <c r="C53" s="20" t="s">
        <v>115</v>
      </c>
      <c r="D53" s="20" t="s">
        <v>116</v>
      </c>
      <c r="E53" s="25" t="s">
        <v>76</v>
      </c>
      <c r="F53" s="24" t="s">
        <v>57</v>
      </c>
      <c r="G53" s="20">
        <v>1</v>
      </c>
      <c r="H53" s="20">
        <v>1</v>
      </c>
      <c r="I53" s="20">
        <v>543</v>
      </c>
      <c r="J53" s="20">
        <v>91360</v>
      </c>
    </row>
    <row r="54" spans="1:10">
      <c r="A54" s="19"/>
      <c r="B54" s="22">
        <v>179</v>
      </c>
      <c r="C54" s="22" t="s">
        <v>117</v>
      </c>
      <c r="D54" s="22" t="s">
        <v>118</v>
      </c>
      <c r="E54" s="25" t="s">
        <v>76</v>
      </c>
      <c r="F54" s="24" t="s">
        <v>57</v>
      </c>
      <c r="G54" s="22">
        <v>3</v>
      </c>
      <c r="H54" s="22">
        <v>3</v>
      </c>
      <c r="I54" s="22">
        <v>560</v>
      </c>
      <c r="J54" s="22">
        <v>67069</v>
      </c>
    </row>
    <row r="55" spans="1:10">
      <c r="A55" s="19"/>
      <c r="B55" s="20">
        <v>180</v>
      </c>
      <c r="C55" s="20" t="s">
        <v>119</v>
      </c>
      <c r="D55" s="20" t="s">
        <v>120</v>
      </c>
      <c r="E55" s="25" t="s">
        <v>76</v>
      </c>
      <c r="F55" s="24" t="s">
        <v>57</v>
      </c>
      <c r="G55" s="20">
        <v>7</v>
      </c>
      <c r="H55" s="20">
        <v>7</v>
      </c>
      <c r="I55" s="20">
        <v>538</v>
      </c>
      <c r="J55" s="20">
        <v>99274</v>
      </c>
    </row>
    <row r="56" spans="1:10">
      <c r="A56" s="19"/>
      <c r="B56" s="22">
        <v>181</v>
      </c>
      <c r="C56" s="22" t="s">
        <v>121</v>
      </c>
      <c r="D56" s="22" t="s">
        <v>122</v>
      </c>
      <c r="E56" s="25" t="s">
        <v>76</v>
      </c>
      <c r="F56" s="24" t="s">
        <v>57</v>
      </c>
      <c r="G56" s="22">
        <v>7</v>
      </c>
      <c r="H56" s="22">
        <v>7</v>
      </c>
      <c r="I56" s="22">
        <v>536</v>
      </c>
      <c r="J56" s="22">
        <v>102570</v>
      </c>
    </row>
    <row r="57" spans="1:10">
      <c r="A57" s="19"/>
      <c r="B57" s="20"/>
      <c r="C57" s="23"/>
      <c r="D57" s="20" t="s">
        <v>123</v>
      </c>
      <c r="E57" s="20"/>
      <c r="F57" s="20"/>
      <c r="G57" s="20">
        <f>SUM(G33:G56)</f>
        <v>203</v>
      </c>
      <c r="H57" s="20">
        <f>SUM(H33:H56)</f>
        <v>203</v>
      </c>
      <c r="I57" s="20">
        <f>MIN(I33:I56)</f>
        <v>535</v>
      </c>
      <c r="J57" s="20">
        <f>MAX(J33:J56)</f>
        <v>104591</v>
      </c>
    </row>
    <row r="58" spans="1:10">
      <c r="A58" s="16" t="s">
        <v>124</v>
      </c>
      <c r="B58" s="25" t="s">
        <v>125</v>
      </c>
      <c r="C58" s="25" t="s">
        <v>126</v>
      </c>
      <c r="D58" s="25" t="s">
        <v>127</v>
      </c>
      <c r="E58" s="25" t="s">
        <v>14</v>
      </c>
      <c r="F58" s="25"/>
      <c r="G58" s="25">
        <v>50</v>
      </c>
      <c r="H58" s="26">
        <v>50</v>
      </c>
      <c r="I58" s="17">
        <v>530</v>
      </c>
      <c r="J58" s="17">
        <v>35934</v>
      </c>
    </row>
    <row r="59" spans="1:10">
      <c r="A59" s="16"/>
      <c r="B59" s="25"/>
      <c r="C59" s="25" t="s">
        <v>128</v>
      </c>
      <c r="D59" s="25" t="s">
        <v>129</v>
      </c>
      <c r="E59" s="25" t="s">
        <v>14</v>
      </c>
      <c r="F59" s="25"/>
      <c r="G59" s="25">
        <v>80</v>
      </c>
      <c r="H59" s="26">
        <v>84</v>
      </c>
      <c r="I59" s="17">
        <v>535</v>
      </c>
      <c r="J59" s="17">
        <v>33043</v>
      </c>
    </row>
    <row r="60" spans="1:10">
      <c r="A60" s="16"/>
      <c r="B60" s="25"/>
      <c r="C60" s="25" t="s">
        <v>130</v>
      </c>
      <c r="D60" s="25" t="s">
        <v>131</v>
      </c>
      <c r="E60" s="25" t="s">
        <v>14</v>
      </c>
      <c r="F60" s="25"/>
      <c r="G60" s="25">
        <v>75</v>
      </c>
      <c r="H60" s="26">
        <v>75</v>
      </c>
      <c r="I60" s="17">
        <v>528</v>
      </c>
      <c r="J60" s="17">
        <v>37259</v>
      </c>
    </row>
    <row r="61" spans="1:10">
      <c r="A61" s="16"/>
      <c r="B61" s="25"/>
      <c r="C61" s="25" t="s">
        <v>132</v>
      </c>
      <c r="D61" s="25" t="s">
        <v>133</v>
      </c>
      <c r="E61" s="25" t="s">
        <v>14</v>
      </c>
      <c r="F61" s="25"/>
      <c r="G61" s="25">
        <v>70</v>
      </c>
      <c r="H61" s="26">
        <v>70</v>
      </c>
      <c r="I61" s="17">
        <v>527</v>
      </c>
      <c r="J61" s="17">
        <v>37705</v>
      </c>
    </row>
    <row r="62" spans="1:10">
      <c r="A62" s="16"/>
      <c r="B62" s="25" t="s">
        <v>134</v>
      </c>
      <c r="C62" s="25" t="s">
        <v>135</v>
      </c>
      <c r="D62" s="25" t="s">
        <v>136</v>
      </c>
      <c r="E62" s="25" t="s">
        <v>14</v>
      </c>
      <c r="F62" s="25"/>
      <c r="G62" s="25">
        <v>85</v>
      </c>
      <c r="H62" s="26">
        <v>89</v>
      </c>
      <c r="I62" s="17">
        <v>529</v>
      </c>
      <c r="J62" s="17">
        <v>36780</v>
      </c>
    </row>
    <row r="63" spans="1:10">
      <c r="A63" s="16"/>
      <c r="B63" s="25"/>
      <c r="C63" s="25" t="s">
        <v>137</v>
      </c>
      <c r="D63" s="25" t="s">
        <v>138</v>
      </c>
      <c r="E63" s="25" t="s">
        <v>14</v>
      </c>
      <c r="F63" s="25"/>
      <c r="G63" s="25">
        <v>40</v>
      </c>
      <c r="H63" s="26">
        <v>40</v>
      </c>
      <c r="I63" s="17">
        <v>524</v>
      </c>
      <c r="J63" s="17">
        <v>40024</v>
      </c>
    </row>
    <row r="64" spans="1:10">
      <c r="A64" s="16"/>
      <c r="B64" s="25"/>
      <c r="C64" s="25" t="s">
        <v>139</v>
      </c>
      <c r="D64" s="25" t="s">
        <v>140</v>
      </c>
      <c r="E64" s="25" t="s">
        <v>14</v>
      </c>
      <c r="F64" s="25"/>
      <c r="G64" s="25">
        <v>45</v>
      </c>
      <c r="H64" s="26">
        <v>45</v>
      </c>
      <c r="I64" s="17">
        <v>524</v>
      </c>
      <c r="J64" s="17">
        <v>40265</v>
      </c>
    </row>
    <row r="65" spans="1:10">
      <c r="A65" s="16"/>
      <c r="B65" s="25"/>
      <c r="C65" s="25" t="s">
        <v>141</v>
      </c>
      <c r="D65" s="25" t="s">
        <v>142</v>
      </c>
      <c r="E65" s="25" t="s">
        <v>14</v>
      </c>
      <c r="F65" s="25"/>
      <c r="G65" s="25">
        <v>35</v>
      </c>
      <c r="H65" s="26">
        <v>35</v>
      </c>
      <c r="I65" s="17">
        <v>524</v>
      </c>
      <c r="J65" s="17">
        <v>40315</v>
      </c>
    </row>
    <row r="66" spans="1:10">
      <c r="A66" s="16"/>
      <c r="B66" s="25" t="s">
        <v>143</v>
      </c>
      <c r="C66" s="25" t="s">
        <v>144</v>
      </c>
      <c r="D66" s="25" t="s">
        <v>145</v>
      </c>
      <c r="E66" s="25" t="s">
        <v>14</v>
      </c>
      <c r="F66" s="25"/>
      <c r="G66" s="25">
        <v>51</v>
      </c>
      <c r="H66" s="26">
        <v>20</v>
      </c>
      <c r="I66" s="17">
        <v>523</v>
      </c>
      <c r="J66" s="17">
        <v>40779</v>
      </c>
    </row>
    <row r="67" spans="1:10">
      <c r="A67" s="16"/>
      <c r="B67" s="25"/>
      <c r="C67" s="25" t="s">
        <v>146</v>
      </c>
      <c r="D67" s="25" t="s">
        <v>147</v>
      </c>
      <c r="E67" s="25" t="s">
        <v>14</v>
      </c>
      <c r="F67" s="25"/>
      <c r="G67" s="25">
        <v>20</v>
      </c>
      <c r="H67" s="26">
        <v>51</v>
      </c>
      <c r="I67" s="17">
        <v>523</v>
      </c>
      <c r="J67" s="17">
        <v>40813</v>
      </c>
    </row>
    <row r="68" spans="1:10">
      <c r="A68" s="16"/>
      <c r="B68" s="25" t="s">
        <v>148</v>
      </c>
      <c r="C68" s="25" t="s">
        <v>149</v>
      </c>
      <c r="D68" s="25" t="s">
        <v>150</v>
      </c>
      <c r="E68" s="25" t="s">
        <v>14</v>
      </c>
      <c r="F68" s="25"/>
      <c r="G68" s="25">
        <v>25</v>
      </c>
      <c r="H68" s="26">
        <v>25</v>
      </c>
      <c r="I68" s="17">
        <v>522</v>
      </c>
      <c r="J68" s="17">
        <v>41433</v>
      </c>
    </row>
    <row r="69" spans="1:10">
      <c r="A69" s="16"/>
      <c r="B69" s="25" t="s">
        <v>151</v>
      </c>
      <c r="C69" s="25" t="s">
        <v>152</v>
      </c>
      <c r="D69" s="25" t="s">
        <v>153</v>
      </c>
      <c r="E69" s="25" t="s">
        <v>14</v>
      </c>
      <c r="F69" s="25"/>
      <c r="G69" s="25">
        <v>15</v>
      </c>
      <c r="H69" s="26">
        <v>15</v>
      </c>
      <c r="I69" s="17">
        <v>524</v>
      </c>
      <c r="J69" s="17">
        <v>40048</v>
      </c>
    </row>
    <row r="70" spans="1:10">
      <c r="A70" s="16"/>
      <c r="B70" s="25"/>
      <c r="C70" s="25" t="s">
        <v>154</v>
      </c>
      <c r="D70" s="25" t="s">
        <v>155</v>
      </c>
      <c r="E70" s="25" t="s">
        <v>14</v>
      </c>
      <c r="F70" s="25"/>
      <c r="G70" s="25">
        <v>25</v>
      </c>
      <c r="H70" s="26">
        <v>25</v>
      </c>
      <c r="I70" s="17">
        <v>523</v>
      </c>
      <c r="J70" s="17">
        <v>40819</v>
      </c>
    </row>
    <row r="71" spans="1:10">
      <c r="A71" s="16"/>
      <c r="B71" s="25"/>
      <c r="C71" s="25" t="s">
        <v>156</v>
      </c>
      <c r="D71" s="25" t="s">
        <v>157</v>
      </c>
      <c r="E71" s="25" t="s">
        <v>14</v>
      </c>
      <c r="F71" s="25"/>
      <c r="G71" s="25">
        <v>40</v>
      </c>
      <c r="H71" s="26">
        <v>40</v>
      </c>
      <c r="I71" s="17">
        <v>524</v>
      </c>
      <c r="J71" s="17">
        <v>40068</v>
      </c>
    </row>
    <row r="72" spans="1:10">
      <c r="A72" s="16"/>
      <c r="B72" s="25"/>
      <c r="C72" s="25" t="s">
        <v>158</v>
      </c>
      <c r="D72" s="25" t="s">
        <v>159</v>
      </c>
      <c r="E72" s="25" t="s">
        <v>14</v>
      </c>
      <c r="F72" s="25"/>
      <c r="G72" s="25">
        <v>32</v>
      </c>
      <c r="H72" s="26">
        <v>32</v>
      </c>
      <c r="I72" s="17">
        <v>523</v>
      </c>
      <c r="J72" s="17">
        <v>40431</v>
      </c>
    </row>
    <row r="73" spans="1:10">
      <c r="A73" s="16"/>
      <c r="B73" s="25"/>
      <c r="C73" s="25" t="s">
        <v>160</v>
      </c>
      <c r="D73" s="25" t="s">
        <v>161</v>
      </c>
      <c r="E73" s="25" t="s">
        <v>14</v>
      </c>
      <c r="F73" s="25"/>
      <c r="G73" s="25">
        <v>30</v>
      </c>
      <c r="H73" s="26">
        <v>35</v>
      </c>
      <c r="I73" s="17">
        <v>527</v>
      </c>
      <c r="J73" s="17">
        <v>37645</v>
      </c>
    </row>
    <row r="74" spans="1:10">
      <c r="A74" s="16"/>
      <c r="B74" s="25"/>
      <c r="C74" s="25" t="s">
        <v>162</v>
      </c>
      <c r="D74" s="25" t="s">
        <v>163</v>
      </c>
      <c r="E74" s="25" t="s">
        <v>14</v>
      </c>
      <c r="F74" s="25"/>
      <c r="G74" s="25">
        <v>35</v>
      </c>
      <c r="H74" s="26">
        <v>35</v>
      </c>
      <c r="I74" s="17">
        <v>523</v>
      </c>
      <c r="J74" s="17">
        <v>40794</v>
      </c>
    </row>
    <row r="75" spans="1:10">
      <c r="A75" s="16"/>
      <c r="B75" s="25" t="s">
        <v>164</v>
      </c>
      <c r="C75" s="25" t="s">
        <v>165</v>
      </c>
      <c r="D75" s="25" t="s">
        <v>166</v>
      </c>
      <c r="E75" s="25" t="s">
        <v>14</v>
      </c>
      <c r="F75" s="25"/>
      <c r="G75" s="25">
        <v>30</v>
      </c>
      <c r="H75" s="26">
        <v>30</v>
      </c>
      <c r="I75" s="17">
        <v>517</v>
      </c>
      <c r="J75" s="17">
        <v>44951</v>
      </c>
    </row>
    <row r="76" spans="1:10">
      <c r="A76" s="16"/>
      <c r="B76" s="25" t="s">
        <v>167</v>
      </c>
      <c r="C76" s="25" t="s">
        <v>168</v>
      </c>
      <c r="D76" s="25" t="s">
        <v>169</v>
      </c>
      <c r="E76" s="25" t="s">
        <v>14</v>
      </c>
      <c r="F76" s="25"/>
      <c r="G76" s="25">
        <v>15</v>
      </c>
      <c r="H76" s="26">
        <v>15</v>
      </c>
      <c r="I76" s="17">
        <v>517</v>
      </c>
      <c r="J76" s="17">
        <v>45039</v>
      </c>
    </row>
    <row r="77" spans="1:10">
      <c r="A77" s="16"/>
      <c r="B77" s="25" t="s">
        <v>170</v>
      </c>
      <c r="C77" s="25" t="s">
        <v>171</v>
      </c>
      <c r="D77" s="25" t="s">
        <v>172</v>
      </c>
      <c r="E77" s="25" t="s">
        <v>173</v>
      </c>
      <c r="F77" s="25" t="s">
        <v>174</v>
      </c>
      <c r="G77" s="25">
        <v>56</v>
      </c>
      <c r="H77" s="26">
        <v>57</v>
      </c>
      <c r="I77" s="17">
        <v>524</v>
      </c>
      <c r="J77" s="17">
        <v>39920</v>
      </c>
    </row>
    <row r="78" spans="1:10">
      <c r="A78" s="16"/>
      <c r="B78" s="25"/>
      <c r="C78" s="25" t="s">
        <v>175</v>
      </c>
      <c r="D78" s="25" t="s">
        <v>176</v>
      </c>
      <c r="E78" s="25" t="s">
        <v>173</v>
      </c>
      <c r="F78" s="25" t="s">
        <v>174</v>
      </c>
      <c r="G78" s="25">
        <v>25</v>
      </c>
      <c r="H78" s="26">
        <v>25</v>
      </c>
      <c r="I78" s="17">
        <v>523</v>
      </c>
      <c r="J78" s="17">
        <v>40625</v>
      </c>
    </row>
    <row r="79" spans="1:10">
      <c r="A79" s="16"/>
      <c r="B79" s="25" t="s">
        <v>177</v>
      </c>
      <c r="C79" s="25" t="s">
        <v>178</v>
      </c>
      <c r="D79" s="25" t="s">
        <v>179</v>
      </c>
      <c r="E79" s="25" t="s">
        <v>180</v>
      </c>
      <c r="F79" s="25"/>
      <c r="G79" s="25">
        <v>55</v>
      </c>
      <c r="H79" s="26">
        <v>55</v>
      </c>
      <c r="I79" s="17">
        <v>532</v>
      </c>
      <c r="J79" s="17">
        <v>34642</v>
      </c>
    </row>
    <row r="80" spans="1:10">
      <c r="A80" s="16"/>
      <c r="B80" s="25" t="s">
        <v>181</v>
      </c>
      <c r="C80" s="25" t="s">
        <v>182</v>
      </c>
      <c r="D80" s="25" t="s">
        <v>183</v>
      </c>
      <c r="E80" s="25" t="s">
        <v>184</v>
      </c>
      <c r="F80" s="25" t="s">
        <v>57</v>
      </c>
      <c r="G80" s="25">
        <v>10</v>
      </c>
      <c r="H80" s="26">
        <v>10</v>
      </c>
      <c r="I80" s="17">
        <v>522</v>
      </c>
      <c r="J80" s="17">
        <v>41432</v>
      </c>
    </row>
    <row r="81" spans="1:10">
      <c r="A81" s="16"/>
      <c r="B81" s="25" t="s">
        <v>185</v>
      </c>
      <c r="C81" s="25" t="s">
        <v>186</v>
      </c>
      <c r="D81" s="25" t="s">
        <v>187</v>
      </c>
      <c r="E81" s="25" t="s">
        <v>14</v>
      </c>
      <c r="F81" s="25" t="s">
        <v>57</v>
      </c>
      <c r="G81" s="25">
        <v>40</v>
      </c>
      <c r="H81" s="26">
        <v>40</v>
      </c>
      <c r="I81" s="17">
        <v>521</v>
      </c>
      <c r="J81" s="17">
        <v>42182</v>
      </c>
    </row>
    <row r="82" spans="1:10">
      <c r="A82" s="16"/>
      <c r="B82" s="25"/>
      <c r="C82" s="25" t="s">
        <v>188</v>
      </c>
      <c r="D82" s="25" t="s">
        <v>189</v>
      </c>
      <c r="E82" s="25" t="s">
        <v>14</v>
      </c>
      <c r="F82" s="25" t="s">
        <v>57</v>
      </c>
      <c r="G82" s="25">
        <v>45</v>
      </c>
      <c r="H82" s="26">
        <v>45</v>
      </c>
      <c r="I82" s="17">
        <v>521</v>
      </c>
      <c r="J82" s="17">
        <v>41821</v>
      </c>
    </row>
    <row r="83" spans="1:10">
      <c r="A83" s="16" t="s">
        <v>190</v>
      </c>
      <c r="B83" s="17"/>
      <c r="C83" s="17"/>
      <c r="D83" s="17"/>
      <c r="E83" s="17"/>
      <c r="F83" s="17"/>
      <c r="G83" s="34">
        <f>SUM(G58:G82)</f>
        <v>1029</v>
      </c>
      <c r="H83" s="26"/>
      <c r="I83" s="17"/>
      <c r="J83" s="17"/>
    </row>
    <row r="84" spans="1:10">
      <c r="A84" s="16" t="s">
        <v>191</v>
      </c>
      <c r="B84" s="25" t="s">
        <v>192</v>
      </c>
      <c r="C84" s="25" t="s">
        <v>193</v>
      </c>
      <c r="D84" s="35" t="s">
        <v>194</v>
      </c>
      <c r="E84" s="25" t="s">
        <v>76</v>
      </c>
      <c r="F84" s="25" t="s">
        <v>57</v>
      </c>
      <c r="G84" s="36">
        <v>45</v>
      </c>
      <c r="H84" s="26">
        <v>47</v>
      </c>
      <c r="I84" s="24">
        <v>506</v>
      </c>
      <c r="J84" s="24">
        <v>153501</v>
      </c>
    </row>
    <row r="85" spans="1:10">
      <c r="A85" s="16"/>
      <c r="B85" s="25"/>
      <c r="C85" s="25" t="s">
        <v>195</v>
      </c>
      <c r="D85" s="35" t="s">
        <v>196</v>
      </c>
      <c r="E85" s="25" t="s">
        <v>76</v>
      </c>
      <c r="F85" s="25" t="s">
        <v>57</v>
      </c>
      <c r="G85" s="36">
        <v>80</v>
      </c>
      <c r="H85" s="26">
        <v>80</v>
      </c>
      <c r="I85" s="24">
        <v>503</v>
      </c>
      <c r="J85" s="24">
        <v>158670</v>
      </c>
    </row>
    <row r="86" spans="1:10">
      <c r="A86" s="16"/>
      <c r="B86" s="25" t="s">
        <v>197</v>
      </c>
      <c r="C86" s="25" t="s">
        <v>198</v>
      </c>
      <c r="D86" s="35" t="s">
        <v>199</v>
      </c>
      <c r="E86" s="25" t="s">
        <v>76</v>
      </c>
      <c r="F86" s="25" t="s">
        <v>57</v>
      </c>
      <c r="G86" s="36">
        <v>80</v>
      </c>
      <c r="H86" s="26">
        <v>81</v>
      </c>
      <c r="I86" s="38">
        <v>508</v>
      </c>
      <c r="J86" s="38">
        <v>150748</v>
      </c>
    </row>
    <row r="87" spans="1:10">
      <c r="A87" s="16"/>
      <c r="B87" s="25" t="s">
        <v>200</v>
      </c>
      <c r="C87" s="25" t="s">
        <v>201</v>
      </c>
      <c r="D87" s="35" t="s">
        <v>202</v>
      </c>
      <c r="E87" s="25" t="s">
        <v>76</v>
      </c>
      <c r="F87" s="25" t="s">
        <v>57</v>
      </c>
      <c r="G87" s="36">
        <v>120</v>
      </c>
      <c r="H87" s="26">
        <v>123</v>
      </c>
      <c r="I87" s="24">
        <v>499</v>
      </c>
      <c r="J87" s="24">
        <v>165860</v>
      </c>
    </row>
    <row r="88" s="12" customFormat="1" spans="1:234">
      <c r="A88" s="16"/>
      <c r="B88" s="25"/>
      <c r="C88" s="25" t="s">
        <v>203</v>
      </c>
      <c r="D88" s="35" t="s">
        <v>204</v>
      </c>
      <c r="E88" s="25" t="s">
        <v>76</v>
      </c>
      <c r="F88" s="25" t="s">
        <v>57</v>
      </c>
      <c r="G88" s="36">
        <v>40</v>
      </c>
      <c r="H88" s="26">
        <v>40</v>
      </c>
      <c r="I88" s="24">
        <v>499</v>
      </c>
      <c r="J88" s="24">
        <v>166090</v>
      </c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  <c r="HI88" s="33"/>
      <c r="HJ88" s="33"/>
      <c r="HK88" s="33"/>
      <c r="HL88" s="33"/>
      <c r="HM88" s="33"/>
      <c r="HN88" s="33"/>
      <c r="HO88" s="33"/>
      <c r="HP88" s="33"/>
      <c r="HQ88" s="33"/>
      <c r="HR88" s="33"/>
      <c r="HS88" s="33"/>
      <c r="HT88" s="33"/>
      <c r="HU88" s="33"/>
      <c r="HV88" s="33"/>
      <c r="HW88" s="33"/>
      <c r="HX88" s="33"/>
      <c r="HY88" s="33"/>
      <c r="HZ88" s="33"/>
    </row>
    <row r="89" spans="1:10">
      <c r="A89" s="16"/>
      <c r="B89" s="25" t="s">
        <v>205</v>
      </c>
      <c r="C89" s="25" t="s">
        <v>206</v>
      </c>
      <c r="D89" s="35" t="s">
        <v>207</v>
      </c>
      <c r="E89" s="25" t="s">
        <v>76</v>
      </c>
      <c r="F89" s="25" t="s">
        <v>57</v>
      </c>
      <c r="G89" s="36">
        <v>65</v>
      </c>
      <c r="H89" s="26">
        <v>70</v>
      </c>
      <c r="I89" s="24">
        <v>498</v>
      </c>
      <c r="J89" s="24">
        <v>168226</v>
      </c>
    </row>
    <row r="90" spans="1:10">
      <c r="A90" s="16"/>
      <c r="B90" s="25"/>
      <c r="C90" s="25" t="s">
        <v>208</v>
      </c>
      <c r="D90" s="35" t="s">
        <v>209</v>
      </c>
      <c r="E90" s="25" t="s">
        <v>76</v>
      </c>
      <c r="F90" s="25" t="s">
        <v>57</v>
      </c>
      <c r="G90" s="36">
        <v>70</v>
      </c>
      <c r="H90" s="26">
        <v>70</v>
      </c>
      <c r="I90" s="24">
        <v>497</v>
      </c>
      <c r="J90" s="24">
        <v>170575</v>
      </c>
    </row>
    <row r="91" spans="1:10">
      <c r="A91" s="16"/>
      <c r="B91" s="25"/>
      <c r="C91" s="25" t="s">
        <v>210</v>
      </c>
      <c r="D91" s="35" t="s">
        <v>211</v>
      </c>
      <c r="E91" s="25" t="s">
        <v>76</v>
      </c>
      <c r="F91" s="25" t="s">
        <v>57</v>
      </c>
      <c r="G91" s="36">
        <v>75</v>
      </c>
      <c r="H91" s="26">
        <v>75</v>
      </c>
      <c r="I91" s="24">
        <v>497</v>
      </c>
      <c r="J91" s="24">
        <v>169324</v>
      </c>
    </row>
    <row r="92" spans="1:10">
      <c r="A92" s="16"/>
      <c r="B92" s="25"/>
      <c r="C92" s="25" t="s">
        <v>212</v>
      </c>
      <c r="D92" s="35" t="s">
        <v>213</v>
      </c>
      <c r="E92" s="25" t="s">
        <v>76</v>
      </c>
      <c r="F92" s="25" t="s">
        <v>57</v>
      </c>
      <c r="G92" s="36">
        <v>75</v>
      </c>
      <c r="H92" s="26">
        <v>75</v>
      </c>
      <c r="I92" s="39">
        <v>497</v>
      </c>
      <c r="J92" s="24">
        <v>170605</v>
      </c>
    </row>
    <row r="93" spans="1:10">
      <c r="A93" s="16"/>
      <c r="B93" s="25" t="s">
        <v>214</v>
      </c>
      <c r="C93" s="25" t="s">
        <v>125</v>
      </c>
      <c r="D93" s="35" t="s">
        <v>215</v>
      </c>
      <c r="E93" s="25" t="s">
        <v>76</v>
      </c>
      <c r="F93" s="25" t="s">
        <v>57</v>
      </c>
      <c r="G93" s="36">
        <v>86</v>
      </c>
      <c r="H93" s="26">
        <v>88</v>
      </c>
      <c r="I93" s="26">
        <v>535</v>
      </c>
      <c r="J93" s="26">
        <v>103733</v>
      </c>
    </row>
    <row r="94" spans="1:10">
      <c r="A94" s="16"/>
      <c r="B94" s="25" t="s">
        <v>216</v>
      </c>
      <c r="C94" s="25" t="s">
        <v>217</v>
      </c>
      <c r="D94" s="35" t="s">
        <v>218</v>
      </c>
      <c r="E94" s="25" t="s">
        <v>76</v>
      </c>
      <c r="F94" s="25" t="s">
        <v>57</v>
      </c>
      <c r="G94" s="36">
        <v>135</v>
      </c>
      <c r="H94" s="26">
        <v>136</v>
      </c>
      <c r="I94" s="26">
        <v>504</v>
      </c>
      <c r="J94" s="26">
        <v>157479</v>
      </c>
    </row>
    <row r="95" spans="1:10">
      <c r="A95" s="16"/>
      <c r="B95" s="25" t="s">
        <v>203</v>
      </c>
      <c r="C95" s="25" t="s">
        <v>219</v>
      </c>
      <c r="D95" s="35" t="s">
        <v>220</v>
      </c>
      <c r="E95" s="25" t="s">
        <v>76</v>
      </c>
      <c r="F95" s="25" t="s">
        <v>57</v>
      </c>
      <c r="G95" s="36">
        <v>305</v>
      </c>
      <c r="H95" s="26">
        <v>305</v>
      </c>
      <c r="I95" s="26">
        <v>494</v>
      </c>
      <c r="J95" s="26">
        <v>175047</v>
      </c>
    </row>
    <row r="96" spans="1:10">
      <c r="A96" s="16"/>
      <c r="B96" s="25" t="s">
        <v>221</v>
      </c>
      <c r="C96" s="25" t="s">
        <v>222</v>
      </c>
      <c r="D96" s="35" t="s">
        <v>223</v>
      </c>
      <c r="E96" s="25" t="s">
        <v>76</v>
      </c>
      <c r="F96" s="25" t="s">
        <v>57</v>
      </c>
      <c r="G96" s="36">
        <v>70</v>
      </c>
      <c r="H96" s="26">
        <v>72</v>
      </c>
      <c r="I96" s="17">
        <v>499</v>
      </c>
      <c r="J96" s="17">
        <v>166109</v>
      </c>
    </row>
    <row r="97" spans="1:10">
      <c r="A97" s="16"/>
      <c r="B97" s="25"/>
      <c r="C97" s="25" t="s">
        <v>224</v>
      </c>
      <c r="D97" s="35" t="s">
        <v>225</v>
      </c>
      <c r="E97" s="25" t="s">
        <v>76</v>
      </c>
      <c r="F97" s="25" t="s">
        <v>57</v>
      </c>
      <c r="G97" s="36">
        <v>70</v>
      </c>
      <c r="H97" s="26">
        <v>70</v>
      </c>
      <c r="I97" s="17">
        <v>498</v>
      </c>
      <c r="J97" s="17">
        <v>167976</v>
      </c>
    </row>
    <row r="98" spans="1:10">
      <c r="A98" s="16"/>
      <c r="B98" s="25" t="s">
        <v>226</v>
      </c>
      <c r="C98" s="25" t="s">
        <v>227</v>
      </c>
      <c r="D98" s="35" t="s">
        <v>228</v>
      </c>
      <c r="E98" s="25" t="s">
        <v>76</v>
      </c>
      <c r="F98" s="25" t="s">
        <v>57</v>
      </c>
      <c r="G98" s="36">
        <v>70</v>
      </c>
      <c r="H98" s="26">
        <v>72</v>
      </c>
      <c r="I98" s="17">
        <v>498</v>
      </c>
      <c r="J98" s="17">
        <v>167697</v>
      </c>
    </row>
    <row r="99" spans="1:10">
      <c r="A99" s="16"/>
      <c r="B99" s="25"/>
      <c r="C99" s="25" t="s">
        <v>229</v>
      </c>
      <c r="D99" s="35" t="s">
        <v>230</v>
      </c>
      <c r="E99" s="25" t="s">
        <v>76</v>
      </c>
      <c r="F99" s="25" t="s">
        <v>57</v>
      </c>
      <c r="G99" s="36">
        <v>50</v>
      </c>
      <c r="H99" s="26">
        <v>50</v>
      </c>
      <c r="I99" s="17">
        <v>498</v>
      </c>
      <c r="J99" s="17">
        <v>168314</v>
      </c>
    </row>
    <row r="100" spans="1:10">
      <c r="A100" s="16"/>
      <c r="B100" s="25" t="s">
        <v>231</v>
      </c>
      <c r="C100" s="25" t="s">
        <v>232</v>
      </c>
      <c r="D100" s="35" t="s">
        <v>172</v>
      </c>
      <c r="E100" s="25" t="s">
        <v>233</v>
      </c>
      <c r="F100" s="25" t="s">
        <v>174</v>
      </c>
      <c r="G100" s="36">
        <v>50</v>
      </c>
      <c r="H100" s="26">
        <v>51</v>
      </c>
      <c r="I100" s="17">
        <v>508</v>
      </c>
      <c r="J100" s="17">
        <v>151161</v>
      </c>
    </row>
    <row r="101" spans="1:10">
      <c r="A101" s="16"/>
      <c r="B101" s="25"/>
      <c r="C101" s="25" t="s">
        <v>234</v>
      </c>
      <c r="D101" s="35" t="s">
        <v>176</v>
      </c>
      <c r="E101" s="25" t="s">
        <v>233</v>
      </c>
      <c r="F101" s="25" t="s">
        <v>174</v>
      </c>
      <c r="G101" s="36">
        <v>25</v>
      </c>
      <c r="H101" s="26">
        <v>25</v>
      </c>
      <c r="I101" s="17">
        <v>506</v>
      </c>
      <c r="J101" s="17">
        <v>153104</v>
      </c>
    </row>
    <row r="102" spans="1:10">
      <c r="A102" s="16"/>
      <c r="B102" s="25" t="s">
        <v>235</v>
      </c>
      <c r="C102" s="25" t="s">
        <v>236</v>
      </c>
      <c r="D102" s="35" t="s">
        <v>237</v>
      </c>
      <c r="E102" s="25" t="s">
        <v>238</v>
      </c>
      <c r="F102" s="25" t="s">
        <v>57</v>
      </c>
      <c r="G102" s="36">
        <v>115</v>
      </c>
      <c r="H102" s="26">
        <v>116</v>
      </c>
      <c r="I102" s="26">
        <v>503</v>
      </c>
      <c r="J102" s="26">
        <v>160117</v>
      </c>
    </row>
    <row r="103" spans="1:10">
      <c r="A103" s="16"/>
      <c r="B103" s="25" t="s">
        <v>239</v>
      </c>
      <c r="C103" s="25" t="s">
        <v>240</v>
      </c>
      <c r="D103" s="35" t="s">
        <v>183</v>
      </c>
      <c r="E103" s="25" t="s">
        <v>238</v>
      </c>
      <c r="F103" s="25" t="s">
        <v>57</v>
      </c>
      <c r="G103" s="36">
        <v>40</v>
      </c>
      <c r="H103" s="26">
        <v>40</v>
      </c>
      <c r="I103" s="26">
        <v>498</v>
      </c>
      <c r="J103" s="26">
        <v>119691</v>
      </c>
    </row>
    <row r="104" ht="28.5" spans="1:10">
      <c r="A104" s="16"/>
      <c r="B104" s="25" t="s">
        <v>241</v>
      </c>
      <c r="C104" s="25" t="s">
        <v>134</v>
      </c>
      <c r="D104" s="35" t="s">
        <v>242</v>
      </c>
      <c r="E104" s="25" t="s">
        <v>76</v>
      </c>
      <c r="F104" s="25" t="s">
        <v>57</v>
      </c>
      <c r="G104" s="36">
        <v>50</v>
      </c>
      <c r="H104" s="26">
        <v>50</v>
      </c>
      <c r="I104" s="26">
        <v>494</v>
      </c>
      <c r="J104" s="26">
        <v>175204</v>
      </c>
    </row>
    <row r="105" spans="1:10">
      <c r="A105" s="16"/>
      <c r="B105" s="25" t="s">
        <v>243</v>
      </c>
      <c r="C105" s="25" t="s">
        <v>143</v>
      </c>
      <c r="D105" s="35" t="s">
        <v>244</v>
      </c>
      <c r="E105" s="25" t="s">
        <v>76</v>
      </c>
      <c r="F105" s="25" t="s">
        <v>245</v>
      </c>
      <c r="G105" s="36">
        <v>45</v>
      </c>
      <c r="H105" s="26">
        <v>45</v>
      </c>
      <c r="I105" s="17">
        <v>514</v>
      </c>
      <c r="J105" s="17">
        <v>139289</v>
      </c>
    </row>
    <row r="106" spans="1:10">
      <c r="A106" s="16"/>
      <c r="B106" s="25"/>
      <c r="C106" s="25" t="s">
        <v>148</v>
      </c>
      <c r="D106" s="35" t="s">
        <v>246</v>
      </c>
      <c r="E106" s="25" t="s">
        <v>76</v>
      </c>
      <c r="F106" s="25" t="s">
        <v>245</v>
      </c>
      <c r="G106" s="36">
        <v>105</v>
      </c>
      <c r="H106" s="26">
        <v>105</v>
      </c>
      <c r="I106" s="17">
        <v>514</v>
      </c>
      <c r="J106" s="17">
        <v>139437</v>
      </c>
    </row>
    <row r="107" spans="1:10">
      <c r="A107" s="37"/>
      <c r="B107" s="25"/>
      <c r="C107" s="25" t="s">
        <v>247</v>
      </c>
      <c r="D107" s="35" t="s">
        <v>248</v>
      </c>
      <c r="E107" s="25" t="s">
        <v>76</v>
      </c>
      <c r="F107" s="25" t="s">
        <v>245</v>
      </c>
      <c r="G107" s="36">
        <v>100</v>
      </c>
      <c r="H107" s="38">
        <v>105</v>
      </c>
      <c r="I107" s="24">
        <v>516</v>
      </c>
      <c r="J107" s="24">
        <v>135801</v>
      </c>
    </row>
    <row r="108" spans="1:10">
      <c r="A108" s="16"/>
      <c r="B108" s="25" t="s">
        <v>249</v>
      </c>
      <c r="C108" s="25" t="s">
        <v>151</v>
      </c>
      <c r="D108" s="35" t="s">
        <v>179</v>
      </c>
      <c r="E108" s="25" t="s">
        <v>250</v>
      </c>
      <c r="F108" s="25"/>
      <c r="G108" s="36">
        <v>25</v>
      </c>
      <c r="H108" s="26">
        <v>25</v>
      </c>
      <c r="I108" s="26">
        <v>517</v>
      </c>
      <c r="J108" s="26">
        <v>134927</v>
      </c>
    </row>
    <row r="109" spans="1:10">
      <c r="A109" s="16"/>
      <c r="B109" s="25" t="s">
        <v>251</v>
      </c>
      <c r="C109" s="25" t="s">
        <v>181</v>
      </c>
      <c r="D109" s="35" t="s">
        <v>129</v>
      </c>
      <c r="E109" s="25" t="s">
        <v>42</v>
      </c>
      <c r="F109" s="25"/>
      <c r="G109" s="36">
        <v>77</v>
      </c>
      <c r="H109" s="26">
        <v>78</v>
      </c>
      <c r="I109" s="17">
        <v>514</v>
      </c>
      <c r="J109" s="17">
        <v>138780</v>
      </c>
    </row>
    <row r="110" spans="1:10">
      <c r="A110" s="16"/>
      <c r="B110" s="25"/>
      <c r="C110" s="25" t="s">
        <v>197</v>
      </c>
      <c r="D110" s="35" t="s">
        <v>131</v>
      </c>
      <c r="E110" s="25" t="s">
        <v>42</v>
      </c>
      <c r="F110" s="25"/>
      <c r="G110" s="36">
        <v>75</v>
      </c>
      <c r="H110" s="26">
        <v>75</v>
      </c>
      <c r="I110" s="17">
        <v>511</v>
      </c>
      <c r="J110" s="17">
        <v>144718</v>
      </c>
    </row>
    <row r="111" spans="1:10">
      <c r="A111" s="16"/>
      <c r="B111" s="25"/>
      <c r="C111" s="25" t="s">
        <v>252</v>
      </c>
      <c r="D111" s="35" t="s">
        <v>133</v>
      </c>
      <c r="E111" s="25" t="s">
        <v>42</v>
      </c>
      <c r="F111" s="25"/>
      <c r="G111" s="36">
        <v>70</v>
      </c>
      <c r="H111" s="26">
        <v>70</v>
      </c>
      <c r="I111" s="17">
        <v>509</v>
      </c>
      <c r="J111" s="17">
        <v>148712</v>
      </c>
    </row>
    <row r="112" spans="1:10">
      <c r="A112" s="16"/>
      <c r="B112" s="25" t="s">
        <v>210</v>
      </c>
      <c r="C112" s="25" t="s">
        <v>164</v>
      </c>
      <c r="D112" s="35" t="s">
        <v>136</v>
      </c>
      <c r="E112" s="25" t="s">
        <v>42</v>
      </c>
      <c r="F112" s="25"/>
      <c r="G112" s="36">
        <v>85</v>
      </c>
      <c r="H112" s="26">
        <v>88</v>
      </c>
      <c r="I112" s="17">
        <v>503</v>
      </c>
      <c r="J112" s="17">
        <v>159642</v>
      </c>
    </row>
    <row r="113" spans="1:10">
      <c r="A113" s="16"/>
      <c r="B113" s="25"/>
      <c r="C113" s="25" t="s">
        <v>170</v>
      </c>
      <c r="D113" s="35" t="s">
        <v>138</v>
      </c>
      <c r="E113" s="25" t="s">
        <v>42</v>
      </c>
      <c r="F113" s="25"/>
      <c r="G113" s="36">
        <v>35</v>
      </c>
      <c r="H113" s="26">
        <v>35</v>
      </c>
      <c r="I113" s="17">
        <v>498</v>
      </c>
      <c r="J113" s="17">
        <v>167483</v>
      </c>
    </row>
    <row r="114" spans="1:10">
      <c r="A114" s="16"/>
      <c r="B114" s="25"/>
      <c r="C114" s="25" t="s">
        <v>177</v>
      </c>
      <c r="D114" s="35" t="s">
        <v>140</v>
      </c>
      <c r="E114" s="25" t="s">
        <v>42</v>
      </c>
      <c r="F114" s="25"/>
      <c r="G114" s="36">
        <v>45</v>
      </c>
      <c r="H114" s="26">
        <v>45</v>
      </c>
      <c r="I114" s="17">
        <v>498</v>
      </c>
      <c r="J114" s="17">
        <v>168920</v>
      </c>
    </row>
    <row r="115" spans="1:10">
      <c r="A115" s="16"/>
      <c r="B115" s="25"/>
      <c r="C115" s="25" t="s">
        <v>253</v>
      </c>
      <c r="D115" s="35" t="s">
        <v>142</v>
      </c>
      <c r="E115" s="25" t="s">
        <v>42</v>
      </c>
      <c r="F115" s="25"/>
      <c r="G115" s="36">
        <v>40</v>
      </c>
      <c r="H115" s="26">
        <v>40</v>
      </c>
      <c r="I115" s="17">
        <v>498</v>
      </c>
      <c r="J115" s="17">
        <v>168747</v>
      </c>
    </row>
    <row r="116" spans="1:10">
      <c r="A116" s="16"/>
      <c r="B116" s="25" t="s">
        <v>254</v>
      </c>
      <c r="C116" s="25" t="s">
        <v>192</v>
      </c>
      <c r="D116" s="35" t="s">
        <v>145</v>
      </c>
      <c r="E116" s="25" t="s">
        <v>42</v>
      </c>
      <c r="F116" s="25"/>
      <c r="G116" s="36">
        <v>30</v>
      </c>
      <c r="H116" s="26">
        <v>30</v>
      </c>
      <c r="I116" s="17">
        <v>499</v>
      </c>
      <c r="J116" s="17">
        <v>166699</v>
      </c>
    </row>
    <row r="117" spans="1:10">
      <c r="A117" s="16"/>
      <c r="B117" s="25"/>
      <c r="C117" s="25" t="s">
        <v>255</v>
      </c>
      <c r="D117" s="35" t="s">
        <v>147</v>
      </c>
      <c r="E117" s="25" t="s">
        <v>42</v>
      </c>
      <c r="F117" s="25"/>
      <c r="G117" s="36">
        <v>5</v>
      </c>
      <c r="H117" s="26">
        <v>5</v>
      </c>
      <c r="I117" s="17">
        <v>500</v>
      </c>
      <c r="J117" s="17">
        <v>164432</v>
      </c>
    </row>
    <row r="118" spans="1:10">
      <c r="A118" s="16"/>
      <c r="B118" s="25" t="s">
        <v>256</v>
      </c>
      <c r="C118" s="25" t="s">
        <v>200</v>
      </c>
      <c r="D118" s="35" t="s">
        <v>150</v>
      </c>
      <c r="E118" s="25" t="s">
        <v>42</v>
      </c>
      <c r="F118" s="25"/>
      <c r="G118" s="36">
        <v>25</v>
      </c>
      <c r="H118" s="26">
        <v>25</v>
      </c>
      <c r="I118" s="26">
        <v>502</v>
      </c>
      <c r="J118" s="26">
        <v>161686</v>
      </c>
    </row>
    <row r="119" spans="1:10">
      <c r="A119" s="16"/>
      <c r="B119" s="25" t="s">
        <v>257</v>
      </c>
      <c r="C119" s="25" t="s">
        <v>205</v>
      </c>
      <c r="D119" s="35" t="s">
        <v>153</v>
      </c>
      <c r="E119" s="25" t="s">
        <v>42</v>
      </c>
      <c r="F119" s="25"/>
      <c r="G119" s="36">
        <v>15</v>
      </c>
      <c r="H119" s="26">
        <v>15</v>
      </c>
      <c r="I119" s="17">
        <v>505</v>
      </c>
      <c r="J119" s="17">
        <v>155217</v>
      </c>
    </row>
    <row r="120" spans="1:10">
      <c r="A120" s="16"/>
      <c r="B120" s="25"/>
      <c r="C120" s="25" t="s">
        <v>221</v>
      </c>
      <c r="D120" s="35" t="s">
        <v>155</v>
      </c>
      <c r="E120" s="25" t="s">
        <v>42</v>
      </c>
      <c r="F120" s="25"/>
      <c r="G120" s="36">
        <v>25</v>
      </c>
      <c r="H120" s="26">
        <v>25</v>
      </c>
      <c r="I120" s="17">
        <v>498</v>
      </c>
      <c r="J120" s="17">
        <v>169263</v>
      </c>
    </row>
    <row r="121" spans="1:10">
      <c r="A121" s="16"/>
      <c r="B121" s="25"/>
      <c r="C121" s="25" t="s">
        <v>226</v>
      </c>
      <c r="D121" s="35" t="s">
        <v>157</v>
      </c>
      <c r="E121" s="25" t="s">
        <v>42</v>
      </c>
      <c r="F121" s="25"/>
      <c r="G121" s="36">
        <v>40</v>
      </c>
      <c r="H121" s="26">
        <v>40</v>
      </c>
      <c r="I121" s="17">
        <v>502</v>
      </c>
      <c r="J121" s="17">
        <v>161408</v>
      </c>
    </row>
    <row r="122" spans="1:10">
      <c r="A122" s="16"/>
      <c r="B122" s="25"/>
      <c r="C122" s="25" t="s">
        <v>231</v>
      </c>
      <c r="D122" s="35" t="s">
        <v>159</v>
      </c>
      <c r="E122" s="25" t="s">
        <v>42</v>
      </c>
      <c r="F122" s="25"/>
      <c r="G122" s="36">
        <v>50</v>
      </c>
      <c r="H122" s="26">
        <v>50</v>
      </c>
      <c r="I122" s="17">
        <v>498</v>
      </c>
      <c r="J122" s="17">
        <v>169287</v>
      </c>
    </row>
    <row r="123" spans="1:10">
      <c r="A123" s="16"/>
      <c r="B123" s="25"/>
      <c r="C123" s="25" t="s">
        <v>235</v>
      </c>
      <c r="D123" s="35" t="s">
        <v>161</v>
      </c>
      <c r="E123" s="25" t="s">
        <v>42</v>
      </c>
      <c r="F123" s="25"/>
      <c r="G123" s="36">
        <v>50</v>
      </c>
      <c r="H123" s="26">
        <v>56</v>
      </c>
      <c r="I123" s="17">
        <v>505</v>
      </c>
      <c r="J123" s="17">
        <v>156067</v>
      </c>
    </row>
    <row r="124" spans="1:10">
      <c r="A124" s="16"/>
      <c r="B124" s="25"/>
      <c r="C124" s="25" t="s">
        <v>239</v>
      </c>
      <c r="D124" s="35" t="s">
        <v>163</v>
      </c>
      <c r="E124" s="25" t="s">
        <v>42</v>
      </c>
      <c r="F124" s="25"/>
      <c r="G124" s="36">
        <v>50</v>
      </c>
      <c r="H124" s="26">
        <v>50</v>
      </c>
      <c r="I124" s="17">
        <v>498</v>
      </c>
      <c r="J124" s="17">
        <v>169197</v>
      </c>
    </row>
    <row r="125" spans="1:10">
      <c r="A125" s="16"/>
      <c r="B125" s="25"/>
      <c r="C125" s="25" t="s">
        <v>254</v>
      </c>
      <c r="D125" s="35" t="s">
        <v>258</v>
      </c>
      <c r="E125" s="25" t="s">
        <v>42</v>
      </c>
      <c r="F125" s="25"/>
      <c r="G125" s="36">
        <v>90</v>
      </c>
      <c r="H125" s="26">
        <v>90</v>
      </c>
      <c r="I125" s="17">
        <v>498</v>
      </c>
      <c r="J125" s="17">
        <v>168194</v>
      </c>
    </row>
    <row r="126" spans="1:10">
      <c r="A126" s="16"/>
      <c r="B126" s="25" t="s">
        <v>259</v>
      </c>
      <c r="C126" s="25" t="s">
        <v>241</v>
      </c>
      <c r="D126" s="35" t="s">
        <v>260</v>
      </c>
      <c r="E126" s="25" t="s">
        <v>76</v>
      </c>
      <c r="F126" s="25"/>
      <c r="G126" s="36">
        <v>135</v>
      </c>
      <c r="H126" s="26">
        <v>138</v>
      </c>
      <c r="I126" s="26">
        <v>516</v>
      </c>
      <c r="J126" s="26">
        <v>136630</v>
      </c>
    </row>
    <row r="127" spans="1:10">
      <c r="A127" s="16"/>
      <c r="B127" s="25" t="s">
        <v>261</v>
      </c>
      <c r="C127" s="25" t="s">
        <v>243</v>
      </c>
      <c r="D127" s="35" t="s">
        <v>262</v>
      </c>
      <c r="E127" s="25" t="s">
        <v>76</v>
      </c>
      <c r="F127" s="25"/>
      <c r="G127" s="36">
        <v>50</v>
      </c>
      <c r="H127" s="26">
        <v>52</v>
      </c>
      <c r="I127" s="17">
        <v>506</v>
      </c>
      <c r="J127" s="17">
        <v>153331</v>
      </c>
    </row>
    <row r="128" spans="1:10">
      <c r="A128" s="16"/>
      <c r="B128" s="25"/>
      <c r="C128" s="25" t="s">
        <v>249</v>
      </c>
      <c r="D128" s="35" t="s">
        <v>263</v>
      </c>
      <c r="E128" s="25" t="s">
        <v>76</v>
      </c>
      <c r="F128" s="25"/>
      <c r="G128" s="36">
        <v>50</v>
      </c>
      <c r="H128" s="26">
        <v>50</v>
      </c>
      <c r="I128" s="17">
        <v>505</v>
      </c>
      <c r="J128" s="17">
        <v>156197</v>
      </c>
    </row>
    <row r="129" spans="1:10">
      <c r="A129" s="16"/>
      <c r="B129" s="25"/>
      <c r="C129" s="25" t="s">
        <v>264</v>
      </c>
      <c r="D129" s="35" t="s">
        <v>265</v>
      </c>
      <c r="E129" s="25" t="s">
        <v>76</v>
      </c>
      <c r="F129" s="25"/>
      <c r="G129" s="36">
        <v>54</v>
      </c>
      <c r="H129" s="26">
        <v>54</v>
      </c>
      <c r="I129" s="17">
        <v>504</v>
      </c>
      <c r="J129" s="17">
        <v>157777</v>
      </c>
    </row>
    <row r="130" spans="1:10">
      <c r="A130" s="16"/>
      <c r="B130" s="25" t="s">
        <v>266</v>
      </c>
      <c r="C130" s="25" t="s">
        <v>251</v>
      </c>
      <c r="D130" s="35" t="s">
        <v>267</v>
      </c>
      <c r="E130" s="25" t="s">
        <v>76</v>
      </c>
      <c r="F130" s="25"/>
      <c r="G130" s="36">
        <v>40</v>
      </c>
      <c r="H130" s="26">
        <v>40</v>
      </c>
      <c r="I130" s="17">
        <v>506</v>
      </c>
      <c r="J130" s="17">
        <v>154399</v>
      </c>
    </row>
    <row r="131" spans="1:10">
      <c r="A131" s="16"/>
      <c r="B131" s="25"/>
      <c r="C131" s="25" t="s">
        <v>256</v>
      </c>
      <c r="D131" s="35" t="s">
        <v>268</v>
      </c>
      <c r="E131" s="25" t="s">
        <v>76</v>
      </c>
      <c r="F131" s="25"/>
      <c r="G131" s="36">
        <v>110</v>
      </c>
      <c r="H131" s="26">
        <v>110</v>
      </c>
      <c r="I131" s="17">
        <v>505</v>
      </c>
      <c r="J131" s="17">
        <v>154921</v>
      </c>
    </row>
    <row r="132" spans="1:10">
      <c r="A132" s="16"/>
      <c r="B132" s="25"/>
      <c r="C132" s="25" t="s">
        <v>257</v>
      </c>
      <c r="D132" s="35" t="s">
        <v>269</v>
      </c>
      <c r="E132" s="25" t="s">
        <v>76</v>
      </c>
      <c r="F132" s="25"/>
      <c r="G132" s="36">
        <v>50</v>
      </c>
      <c r="H132" s="26">
        <v>55</v>
      </c>
      <c r="I132" s="17">
        <v>513</v>
      </c>
      <c r="J132" s="17">
        <v>141834</v>
      </c>
    </row>
    <row r="133" spans="1:10">
      <c r="A133" s="16"/>
      <c r="B133" s="25"/>
      <c r="C133" s="25" t="s">
        <v>259</v>
      </c>
      <c r="D133" s="35" t="s">
        <v>270</v>
      </c>
      <c r="E133" s="25" t="s">
        <v>76</v>
      </c>
      <c r="F133" s="25"/>
      <c r="G133" s="36">
        <v>55</v>
      </c>
      <c r="H133" s="26">
        <v>55</v>
      </c>
      <c r="I133" s="17">
        <v>508</v>
      </c>
      <c r="J133" s="17">
        <v>150353</v>
      </c>
    </row>
    <row r="134" spans="1:10">
      <c r="A134" s="16"/>
      <c r="B134" s="25"/>
      <c r="C134" s="25" t="s">
        <v>271</v>
      </c>
      <c r="D134" s="35" t="s">
        <v>272</v>
      </c>
      <c r="E134" s="25" t="s">
        <v>76</v>
      </c>
      <c r="F134" s="25"/>
      <c r="G134" s="36">
        <v>160</v>
      </c>
      <c r="H134" s="26">
        <v>165</v>
      </c>
      <c r="I134" s="17">
        <v>509</v>
      </c>
      <c r="J134" s="17">
        <v>149012</v>
      </c>
    </row>
    <row r="135" spans="1:10">
      <c r="A135" s="16"/>
      <c r="B135" s="25" t="s">
        <v>247</v>
      </c>
      <c r="C135" s="25" t="s">
        <v>261</v>
      </c>
      <c r="D135" s="35" t="s">
        <v>273</v>
      </c>
      <c r="E135" s="25" t="s">
        <v>76</v>
      </c>
      <c r="F135" s="25"/>
      <c r="G135" s="36">
        <v>100</v>
      </c>
      <c r="H135" s="26">
        <v>104</v>
      </c>
      <c r="I135" s="17">
        <v>513</v>
      </c>
      <c r="J135" s="17">
        <v>142126</v>
      </c>
    </row>
    <row r="136" spans="1:10">
      <c r="A136" s="16"/>
      <c r="B136" s="25"/>
      <c r="C136" s="25" t="s">
        <v>266</v>
      </c>
      <c r="D136" s="35" t="s">
        <v>274</v>
      </c>
      <c r="E136" s="25" t="s">
        <v>76</v>
      </c>
      <c r="F136" s="25"/>
      <c r="G136" s="36">
        <v>93</v>
      </c>
      <c r="H136" s="26">
        <v>93</v>
      </c>
      <c r="I136" s="17">
        <v>510</v>
      </c>
      <c r="J136" s="17">
        <v>145921</v>
      </c>
    </row>
    <row r="137" spans="1:10">
      <c r="A137" s="16"/>
      <c r="B137" s="25"/>
      <c r="C137" s="25" t="s">
        <v>275</v>
      </c>
      <c r="D137" s="35" t="s">
        <v>276</v>
      </c>
      <c r="E137" s="25" t="s">
        <v>76</v>
      </c>
      <c r="F137" s="25"/>
      <c r="G137" s="36">
        <v>105</v>
      </c>
      <c r="H137" s="26">
        <v>105</v>
      </c>
      <c r="I137" s="17">
        <v>510</v>
      </c>
      <c r="J137" s="17">
        <v>146893</v>
      </c>
    </row>
    <row r="138" spans="1:10">
      <c r="A138" s="16"/>
      <c r="B138" s="25"/>
      <c r="C138" s="25" t="s">
        <v>277</v>
      </c>
      <c r="D138" s="35" t="s">
        <v>278</v>
      </c>
      <c r="E138" s="25" t="s">
        <v>76</v>
      </c>
      <c r="F138" s="25"/>
      <c r="G138" s="36">
        <v>100</v>
      </c>
      <c r="H138" s="26">
        <v>100</v>
      </c>
      <c r="I138" s="17">
        <v>510</v>
      </c>
      <c r="J138" s="17">
        <v>146540</v>
      </c>
    </row>
    <row r="139" ht="28.5" spans="1:10">
      <c r="A139" s="16"/>
      <c r="B139" s="25" t="s">
        <v>275</v>
      </c>
      <c r="C139" s="25" t="s">
        <v>279</v>
      </c>
      <c r="D139" s="35" t="s">
        <v>280</v>
      </c>
      <c r="E139" s="25" t="s">
        <v>76</v>
      </c>
      <c r="F139" s="25"/>
      <c r="G139" s="36">
        <v>50</v>
      </c>
      <c r="H139" s="26">
        <v>50</v>
      </c>
      <c r="I139" s="26">
        <v>501</v>
      </c>
      <c r="J139" s="26">
        <v>163282</v>
      </c>
    </row>
    <row r="140" ht="28.5" spans="1:10">
      <c r="A140" s="16"/>
      <c r="B140" s="25" t="s">
        <v>277</v>
      </c>
      <c r="C140" s="25" t="s">
        <v>281</v>
      </c>
      <c r="D140" s="35" t="s">
        <v>282</v>
      </c>
      <c r="E140" s="25" t="s">
        <v>76</v>
      </c>
      <c r="F140" s="25" t="s">
        <v>245</v>
      </c>
      <c r="G140" s="36">
        <v>80</v>
      </c>
      <c r="H140" s="26">
        <v>80</v>
      </c>
      <c r="I140" s="26">
        <v>507</v>
      </c>
      <c r="J140" s="26">
        <v>151873</v>
      </c>
    </row>
    <row r="141" spans="1:10">
      <c r="A141" s="16"/>
      <c r="B141" s="25" t="s">
        <v>283</v>
      </c>
      <c r="C141" s="25" t="s">
        <v>284</v>
      </c>
      <c r="D141" s="35" t="s">
        <v>169</v>
      </c>
      <c r="E141" s="25" t="s">
        <v>42</v>
      </c>
      <c r="F141" s="25"/>
      <c r="G141" s="36">
        <v>15</v>
      </c>
      <c r="H141" s="26">
        <v>15</v>
      </c>
      <c r="I141" s="26">
        <v>496</v>
      </c>
      <c r="J141" s="26">
        <v>172082</v>
      </c>
    </row>
    <row r="142" spans="1:10">
      <c r="A142" s="16"/>
      <c r="B142" s="25" t="s">
        <v>285</v>
      </c>
      <c r="C142" s="25" t="s">
        <v>286</v>
      </c>
      <c r="D142" s="35" t="s">
        <v>166</v>
      </c>
      <c r="E142" s="25" t="s">
        <v>42</v>
      </c>
      <c r="F142" s="25"/>
      <c r="G142" s="36">
        <v>30</v>
      </c>
      <c r="H142" s="26">
        <v>30</v>
      </c>
      <c r="I142" s="26">
        <v>491</v>
      </c>
      <c r="J142" s="26">
        <v>181346</v>
      </c>
    </row>
    <row r="143" spans="1:10">
      <c r="A143" s="16"/>
      <c r="B143" s="25" t="s">
        <v>287</v>
      </c>
      <c r="C143" s="25" t="s">
        <v>288</v>
      </c>
      <c r="D143" s="35" t="s">
        <v>289</v>
      </c>
      <c r="E143" s="25" t="s">
        <v>76</v>
      </c>
      <c r="F143" s="25"/>
      <c r="G143" s="36">
        <v>140</v>
      </c>
      <c r="H143" s="26">
        <v>144</v>
      </c>
      <c r="I143" s="26">
        <v>513</v>
      </c>
      <c r="J143" s="26">
        <v>140709</v>
      </c>
    </row>
    <row r="144" spans="1:10">
      <c r="A144" s="16"/>
      <c r="B144" s="25" t="s">
        <v>290</v>
      </c>
      <c r="C144" s="25" t="s">
        <v>291</v>
      </c>
      <c r="D144" s="35" t="s">
        <v>292</v>
      </c>
      <c r="E144" s="25" t="s">
        <v>76</v>
      </c>
      <c r="F144" s="25" t="s">
        <v>174</v>
      </c>
      <c r="G144" s="36">
        <v>50</v>
      </c>
      <c r="H144" s="26">
        <v>50</v>
      </c>
      <c r="I144" s="26">
        <v>513</v>
      </c>
      <c r="J144" s="26">
        <v>141878</v>
      </c>
    </row>
    <row r="145" spans="1:10">
      <c r="A145" s="16"/>
      <c r="B145" s="25" t="s">
        <v>293</v>
      </c>
      <c r="C145" s="25" t="s">
        <v>216</v>
      </c>
      <c r="D145" s="35" t="s">
        <v>187</v>
      </c>
      <c r="E145" s="25" t="s">
        <v>42</v>
      </c>
      <c r="F145" s="25" t="s">
        <v>57</v>
      </c>
      <c r="G145" s="36">
        <v>40</v>
      </c>
      <c r="H145" s="26">
        <v>40</v>
      </c>
      <c r="I145" s="17">
        <v>498</v>
      </c>
      <c r="J145" s="17">
        <v>168785</v>
      </c>
    </row>
    <row r="146" spans="1:10">
      <c r="A146" s="16"/>
      <c r="B146" s="25"/>
      <c r="C146" s="25" t="s">
        <v>294</v>
      </c>
      <c r="D146" s="35" t="s">
        <v>189</v>
      </c>
      <c r="E146" s="25" t="s">
        <v>42</v>
      </c>
      <c r="F146" s="25" t="s">
        <v>57</v>
      </c>
      <c r="G146" s="36">
        <v>50</v>
      </c>
      <c r="H146" s="26">
        <v>53</v>
      </c>
      <c r="I146" s="17">
        <v>500</v>
      </c>
      <c r="J146" s="17">
        <v>164751</v>
      </c>
    </row>
    <row r="147" spans="1:10">
      <c r="A147" s="37" t="s">
        <v>190</v>
      </c>
      <c r="B147" s="24"/>
      <c r="C147" s="24"/>
      <c r="D147" s="24"/>
      <c r="E147" s="24"/>
      <c r="F147" s="24"/>
      <c r="G147" s="40">
        <f>SUM(G84:G146)</f>
        <v>4355</v>
      </c>
      <c r="H147" s="38"/>
      <c r="I147" s="24"/>
      <c r="J147" s="24"/>
    </row>
    <row r="148" spans="1:10">
      <c r="A148" s="16" t="s">
        <v>295</v>
      </c>
      <c r="B148" s="41" t="s">
        <v>206</v>
      </c>
      <c r="C148" s="41" t="s">
        <v>296</v>
      </c>
      <c r="D148" s="41" t="s">
        <v>297</v>
      </c>
      <c r="E148" s="17" t="s">
        <v>56</v>
      </c>
      <c r="F148" s="17" t="s">
        <v>174</v>
      </c>
      <c r="G148" s="41">
        <v>90</v>
      </c>
      <c r="H148" s="26">
        <v>90</v>
      </c>
      <c r="I148" s="59">
        <v>477.423126</v>
      </c>
      <c r="J148" s="17">
        <v>9882</v>
      </c>
    </row>
    <row r="149" spans="1:10">
      <c r="A149" s="16"/>
      <c r="B149" s="41" t="s">
        <v>298</v>
      </c>
      <c r="C149" s="41" t="s">
        <v>299</v>
      </c>
      <c r="D149" s="41" t="s">
        <v>300</v>
      </c>
      <c r="E149" s="17" t="s">
        <v>56</v>
      </c>
      <c r="F149" s="17" t="s">
        <v>174</v>
      </c>
      <c r="G149" s="41">
        <v>50</v>
      </c>
      <c r="H149" s="26">
        <v>50</v>
      </c>
      <c r="I149" s="59">
        <v>481.405139</v>
      </c>
      <c r="J149" s="17">
        <v>9132</v>
      </c>
    </row>
    <row r="150" spans="1:10">
      <c r="A150" s="16"/>
      <c r="B150" s="41" t="s">
        <v>208</v>
      </c>
      <c r="C150" s="41" t="s">
        <v>301</v>
      </c>
      <c r="D150" s="41" t="s">
        <v>302</v>
      </c>
      <c r="E150" s="17" t="s">
        <v>56</v>
      </c>
      <c r="F150" s="17" t="s">
        <v>174</v>
      </c>
      <c r="G150" s="41">
        <v>30</v>
      </c>
      <c r="H150" s="26">
        <v>30</v>
      </c>
      <c r="I150" s="59">
        <v>476.470147</v>
      </c>
      <c r="J150" s="17">
        <v>10025</v>
      </c>
    </row>
    <row r="151" spans="1:10">
      <c r="A151" s="16"/>
      <c r="B151" s="41" t="s">
        <v>201</v>
      </c>
      <c r="C151" s="41" t="s">
        <v>303</v>
      </c>
      <c r="D151" s="41" t="s">
        <v>304</v>
      </c>
      <c r="E151" s="17" t="s">
        <v>56</v>
      </c>
      <c r="F151" s="17" t="s">
        <v>174</v>
      </c>
      <c r="G151" s="41">
        <v>60</v>
      </c>
      <c r="H151" s="26">
        <v>60</v>
      </c>
      <c r="I151" s="60">
        <v>478.39311508607</v>
      </c>
      <c r="J151" s="24">
        <v>9748</v>
      </c>
    </row>
    <row r="152" spans="1:10">
      <c r="A152" s="16" t="s">
        <v>190</v>
      </c>
      <c r="B152" s="17"/>
      <c r="C152" s="17"/>
      <c r="D152" s="17"/>
      <c r="E152" s="17"/>
      <c r="F152" s="17"/>
      <c r="G152" s="34">
        <f>SUM(G148:G151)</f>
        <v>230</v>
      </c>
      <c r="H152" s="42"/>
      <c r="I152" s="59"/>
      <c r="J152" s="17"/>
    </row>
    <row r="153" spans="1:10">
      <c r="A153" s="16" t="s">
        <v>305</v>
      </c>
      <c r="B153" s="25" t="s">
        <v>198</v>
      </c>
      <c r="C153" s="25" t="s">
        <v>306</v>
      </c>
      <c r="D153" s="25" t="s">
        <v>307</v>
      </c>
      <c r="E153" s="17" t="s">
        <v>56</v>
      </c>
      <c r="F153" s="17"/>
      <c r="G153" s="25">
        <v>225</v>
      </c>
      <c r="H153" s="26">
        <v>225</v>
      </c>
      <c r="I153" s="60">
        <v>455.354110080071</v>
      </c>
      <c r="J153" s="24">
        <v>3959</v>
      </c>
    </row>
    <row r="154" spans="1:10">
      <c r="A154" s="16"/>
      <c r="B154" s="25" t="s">
        <v>232</v>
      </c>
      <c r="C154" s="25" t="s">
        <v>308</v>
      </c>
      <c r="D154" s="25" t="s">
        <v>309</v>
      </c>
      <c r="E154" s="17" t="s">
        <v>56</v>
      </c>
      <c r="F154" s="17"/>
      <c r="G154" s="25">
        <v>50</v>
      </c>
      <c r="H154" s="26">
        <v>50</v>
      </c>
      <c r="I154" s="60">
        <v>458.348120083045</v>
      </c>
      <c r="J154" s="24">
        <v>3814</v>
      </c>
    </row>
    <row r="155" spans="1:10">
      <c r="A155" s="16"/>
      <c r="B155" s="25" t="s">
        <v>234</v>
      </c>
      <c r="C155" s="25" t="s">
        <v>310</v>
      </c>
      <c r="D155" s="25" t="s">
        <v>311</v>
      </c>
      <c r="E155" s="17" t="s">
        <v>56</v>
      </c>
      <c r="F155" s="17"/>
      <c r="G155" s="25">
        <v>30</v>
      </c>
      <c r="H155" s="26">
        <v>30</v>
      </c>
      <c r="I155" s="60">
        <v>448.346120087046</v>
      </c>
      <c r="J155" s="24">
        <v>4381</v>
      </c>
    </row>
    <row r="156" spans="1:10">
      <c r="A156" s="16" t="s">
        <v>190</v>
      </c>
      <c r="B156" s="17"/>
      <c r="C156" s="17"/>
      <c r="D156" s="17"/>
      <c r="E156" s="17"/>
      <c r="F156" s="17"/>
      <c r="G156" s="34">
        <f>SUM(G153:G155)</f>
        <v>305</v>
      </c>
      <c r="H156" s="26"/>
      <c r="I156" s="59"/>
      <c r="J156" s="17"/>
    </row>
    <row r="157" spans="1:10">
      <c r="A157" s="16" t="s">
        <v>312</v>
      </c>
      <c r="B157" s="25" t="s">
        <v>236</v>
      </c>
      <c r="C157" s="25" t="s">
        <v>313</v>
      </c>
      <c r="D157" s="25" t="s">
        <v>314</v>
      </c>
      <c r="E157" s="17" t="s">
        <v>56</v>
      </c>
      <c r="F157" s="17"/>
      <c r="G157" s="17">
        <v>55</v>
      </c>
      <c r="H157" s="26">
        <v>55</v>
      </c>
      <c r="I157" s="60">
        <v>468.395138080076</v>
      </c>
      <c r="J157" s="24">
        <v>996</v>
      </c>
    </row>
    <row r="158" spans="1:10">
      <c r="A158" s="16" t="s">
        <v>190</v>
      </c>
      <c r="B158" s="17"/>
      <c r="C158" s="17"/>
      <c r="D158" s="17"/>
      <c r="E158" s="17"/>
      <c r="F158" s="17"/>
      <c r="G158" s="34">
        <v>55</v>
      </c>
      <c r="H158" s="26"/>
      <c r="I158" s="59"/>
      <c r="J158" s="17"/>
    </row>
    <row r="159" spans="1:10">
      <c r="A159" s="16" t="s">
        <v>315</v>
      </c>
      <c r="B159" s="41" t="s">
        <v>193</v>
      </c>
      <c r="C159" s="41" t="s">
        <v>316</v>
      </c>
      <c r="D159" s="41" t="s">
        <v>317</v>
      </c>
      <c r="E159" s="17" t="s">
        <v>56</v>
      </c>
      <c r="F159" s="17" t="s">
        <v>57</v>
      </c>
      <c r="G159" s="41">
        <v>358</v>
      </c>
      <c r="H159" s="26">
        <v>358</v>
      </c>
      <c r="I159" s="60">
        <v>534.386128079076</v>
      </c>
      <c r="J159" s="24">
        <v>4546</v>
      </c>
    </row>
    <row r="160" spans="1:10">
      <c r="A160" s="16"/>
      <c r="B160" s="41" t="s">
        <v>195</v>
      </c>
      <c r="C160" s="41" t="s">
        <v>318</v>
      </c>
      <c r="D160" s="41" t="s">
        <v>319</v>
      </c>
      <c r="E160" s="17" t="s">
        <v>56</v>
      </c>
      <c r="F160" s="17" t="s">
        <v>57</v>
      </c>
      <c r="G160" s="41">
        <v>40</v>
      </c>
      <c r="H160" s="26">
        <v>40</v>
      </c>
      <c r="I160" s="60">
        <v>526.441138102097</v>
      </c>
      <c r="J160" s="24">
        <v>5327</v>
      </c>
    </row>
    <row r="161" spans="1:10">
      <c r="A161" s="43" t="s">
        <v>190</v>
      </c>
      <c r="B161" s="44"/>
      <c r="C161" s="44"/>
      <c r="D161" s="44"/>
      <c r="E161" s="44"/>
      <c r="F161" s="44"/>
      <c r="G161" s="45">
        <v>398</v>
      </c>
      <c r="H161" s="46"/>
      <c r="I161" s="44"/>
      <c r="J161" s="44"/>
    </row>
    <row r="162" spans="1:16383">
      <c r="A162" s="47" t="s">
        <v>320</v>
      </c>
      <c r="B162" s="48"/>
      <c r="C162" s="49" t="s">
        <v>321</v>
      </c>
      <c r="D162" s="49" t="s">
        <v>322</v>
      </c>
      <c r="E162" s="25" t="s">
        <v>76</v>
      </c>
      <c r="F162" s="25" t="s">
        <v>57</v>
      </c>
      <c r="G162" s="49">
        <v>2</v>
      </c>
      <c r="H162" s="49">
        <v>2</v>
      </c>
      <c r="I162" s="61">
        <v>499.499197106098</v>
      </c>
      <c r="J162" s="49">
        <v>166117</v>
      </c>
      <c r="IA162" s="14"/>
      <c r="XFC162" s="15"/>
    </row>
    <row r="163" spans="1:16383">
      <c r="A163" s="50"/>
      <c r="B163" s="51"/>
      <c r="C163" s="52" t="s">
        <v>323</v>
      </c>
      <c r="D163" s="52" t="s">
        <v>82</v>
      </c>
      <c r="E163" s="25" t="s">
        <v>76</v>
      </c>
      <c r="F163" s="25" t="s">
        <v>57</v>
      </c>
      <c r="G163" s="52">
        <v>6</v>
      </c>
      <c r="H163" s="52">
        <v>6</v>
      </c>
      <c r="I163" s="55">
        <v>494.494212114094</v>
      </c>
      <c r="J163" s="52">
        <v>174806</v>
      </c>
      <c r="IA163" s="14"/>
      <c r="XFC163" s="15"/>
    </row>
    <row r="164" spans="1:16383">
      <c r="A164" s="50"/>
      <c r="B164" s="51"/>
      <c r="C164" s="52" t="s">
        <v>324</v>
      </c>
      <c r="D164" s="52" t="s">
        <v>84</v>
      </c>
      <c r="E164" s="25" t="s">
        <v>76</v>
      </c>
      <c r="F164" s="25" t="s">
        <v>57</v>
      </c>
      <c r="G164" s="52">
        <v>2</v>
      </c>
      <c r="H164" s="52">
        <v>2</v>
      </c>
      <c r="I164" s="55">
        <v>493.493186102121</v>
      </c>
      <c r="J164" s="52">
        <v>177714</v>
      </c>
      <c r="IA164" s="14"/>
      <c r="XFC164" s="15"/>
    </row>
    <row r="165" spans="1:16383">
      <c r="A165" s="50"/>
      <c r="B165" s="51"/>
      <c r="C165" s="52" t="s">
        <v>325</v>
      </c>
      <c r="D165" s="52" t="s">
        <v>86</v>
      </c>
      <c r="E165" s="25" t="s">
        <v>76</v>
      </c>
      <c r="F165" s="25" t="s">
        <v>57</v>
      </c>
      <c r="G165" s="52">
        <v>3</v>
      </c>
      <c r="H165" s="52">
        <v>3</v>
      </c>
      <c r="I165" s="55">
        <v>503.503195109096</v>
      </c>
      <c r="J165" s="52">
        <v>159113</v>
      </c>
      <c r="IA165" s="14"/>
      <c r="XFC165" s="15"/>
    </row>
    <row r="166" spans="1:16383">
      <c r="A166" s="50"/>
      <c r="B166" s="51"/>
      <c r="C166" s="52" t="s">
        <v>326</v>
      </c>
      <c r="D166" s="52" t="s">
        <v>116</v>
      </c>
      <c r="E166" s="25" t="s">
        <v>76</v>
      </c>
      <c r="F166" s="25" t="s">
        <v>57</v>
      </c>
      <c r="G166" s="52">
        <v>3</v>
      </c>
      <c r="H166" s="52">
        <v>3</v>
      </c>
      <c r="I166" s="55">
        <v>492.492182109096</v>
      </c>
      <c r="J166" s="52">
        <v>179765</v>
      </c>
      <c r="IA166" s="14"/>
      <c r="XFC166" s="15"/>
    </row>
    <row r="167" spans="1:16383">
      <c r="A167" s="50"/>
      <c r="B167" s="51"/>
      <c r="C167" s="52" t="s">
        <v>327</v>
      </c>
      <c r="D167" s="52" t="s">
        <v>90</v>
      </c>
      <c r="E167" s="25" t="s">
        <v>76</v>
      </c>
      <c r="F167" s="25" t="s">
        <v>57</v>
      </c>
      <c r="G167" s="52">
        <v>5</v>
      </c>
      <c r="H167" s="52">
        <v>5</v>
      </c>
      <c r="I167" s="55">
        <v>518.518193113112</v>
      </c>
      <c r="J167" s="52">
        <v>132890</v>
      </c>
      <c r="IA167" s="14"/>
      <c r="XFC167" s="15"/>
    </row>
    <row r="168" spans="1:16383">
      <c r="A168" s="50"/>
      <c r="B168" s="51"/>
      <c r="C168" s="52" t="s">
        <v>328</v>
      </c>
      <c r="D168" s="52" t="s">
        <v>92</v>
      </c>
      <c r="E168" s="25" t="s">
        <v>76</v>
      </c>
      <c r="F168" s="25" t="s">
        <v>57</v>
      </c>
      <c r="G168" s="52">
        <v>5</v>
      </c>
      <c r="H168" s="52">
        <v>5</v>
      </c>
      <c r="I168" s="55">
        <v>501.501181096091</v>
      </c>
      <c r="J168" s="52">
        <v>163558</v>
      </c>
      <c r="IA168" s="14"/>
      <c r="XFC168" s="15"/>
    </row>
    <row r="169" spans="1:16383">
      <c r="A169" s="50"/>
      <c r="B169" s="51"/>
      <c r="C169" s="52" t="s">
        <v>329</v>
      </c>
      <c r="D169" s="52" t="s">
        <v>330</v>
      </c>
      <c r="E169" s="25" t="s">
        <v>76</v>
      </c>
      <c r="F169" s="25" t="s">
        <v>57</v>
      </c>
      <c r="G169" s="52">
        <v>3</v>
      </c>
      <c r="H169" s="52">
        <v>3</v>
      </c>
      <c r="I169" s="55">
        <v>493.493169097101</v>
      </c>
      <c r="J169" s="52">
        <v>178375</v>
      </c>
      <c r="IA169" s="14"/>
      <c r="XFC169" s="15"/>
    </row>
    <row r="170" spans="1:16383">
      <c r="A170" s="50"/>
      <c r="B170" s="51"/>
      <c r="C170" s="52" t="s">
        <v>331</v>
      </c>
      <c r="D170" s="52" t="s">
        <v>332</v>
      </c>
      <c r="E170" s="25" t="s">
        <v>76</v>
      </c>
      <c r="F170" s="25" t="s">
        <v>57</v>
      </c>
      <c r="G170" s="52">
        <v>2</v>
      </c>
      <c r="H170" s="52">
        <v>2</v>
      </c>
      <c r="I170" s="55">
        <v>510.510194100108</v>
      </c>
      <c r="J170" s="52">
        <v>146702</v>
      </c>
      <c r="IA170" s="14"/>
      <c r="XFC170" s="15"/>
    </row>
    <row r="171" spans="1:16383">
      <c r="A171" s="50"/>
      <c r="B171" s="51"/>
      <c r="C171" s="52" t="s">
        <v>333</v>
      </c>
      <c r="D171" s="52" t="s">
        <v>334</v>
      </c>
      <c r="E171" s="25" t="s">
        <v>76</v>
      </c>
      <c r="F171" s="25" t="s">
        <v>57</v>
      </c>
      <c r="G171" s="52">
        <v>10</v>
      </c>
      <c r="H171" s="52">
        <v>10</v>
      </c>
      <c r="I171" s="55">
        <v>494.494180101114</v>
      </c>
      <c r="J171" s="52">
        <v>176312</v>
      </c>
      <c r="IA171" s="14"/>
      <c r="XFC171" s="15"/>
    </row>
    <row r="172" spans="1:16383">
      <c r="A172" s="50"/>
      <c r="B172" s="51"/>
      <c r="C172" s="52" t="s">
        <v>335</v>
      </c>
      <c r="D172" s="52" t="s">
        <v>336</v>
      </c>
      <c r="E172" s="25" t="s">
        <v>76</v>
      </c>
      <c r="F172" s="25" t="s">
        <v>57</v>
      </c>
      <c r="G172" s="52">
        <v>11</v>
      </c>
      <c r="H172" s="52">
        <v>11</v>
      </c>
      <c r="I172" s="55">
        <v>495.495180109112</v>
      </c>
      <c r="J172" s="52">
        <v>174486</v>
      </c>
      <c r="IA172" s="14"/>
      <c r="XFC172" s="15"/>
    </row>
    <row r="173" spans="1:16383">
      <c r="A173" s="50"/>
      <c r="B173" s="51"/>
      <c r="C173" s="52" t="s">
        <v>337</v>
      </c>
      <c r="D173" s="52" t="s">
        <v>118</v>
      </c>
      <c r="E173" s="25" t="s">
        <v>76</v>
      </c>
      <c r="F173" s="25" t="s">
        <v>57</v>
      </c>
      <c r="G173" s="52">
        <v>2</v>
      </c>
      <c r="H173" s="52">
        <v>2</v>
      </c>
      <c r="I173" s="55">
        <v>524.524212119097</v>
      </c>
      <c r="J173" s="52">
        <v>121519</v>
      </c>
      <c r="IA173" s="14"/>
      <c r="XFC173" s="15"/>
    </row>
    <row r="174" spans="1:16383">
      <c r="A174" s="50"/>
      <c r="B174" s="51"/>
      <c r="C174" s="52" t="s">
        <v>338</v>
      </c>
      <c r="D174" s="52" t="s">
        <v>339</v>
      </c>
      <c r="E174" s="25" t="s">
        <v>76</v>
      </c>
      <c r="F174" s="25" t="s">
        <v>57</v>
      </c>
      <c r="G174" s="52">
        <v>23</v>
      </c>
      <c r="H174" s="52">
        <v>23</v>
      </c>
      <c r="I174" s="55">
        <v>497.497180100109</v>
      </c>
      <c r="J174" s="52">
        <v>170953</v>
      </c>
      <c r="IA174" s="14"/>
      <c r="XFC174" s="15"/>
    </row>
    <row r="175" spans="1:16383">
      <c r="A175" s="50"/>
      <c r="B175" s="51"/>
      <c r="C175" s="52" t="s">
        <v>340</v>
      </c>
      <c r="D175" s="52" t="s">
        <v>341</v>
      </c>
      <c r="E175" s="25" t="s">
        <v>76</v>
      </c>
      <c r="F175" s="25" t="s">
        <v>57</v>
      </c>
      <c r="G175" s="52">
        <v>4</v>
      </c>
      <c r="H175" s="52">
        <v>4</v>
      </c>
      <c r="I175" s="55">
        <v>499.499194110109</v>
      </c>
      <c r="J175" s="52">
        <v>166287</v>
      </c>
      <c r="IA175" s="14"/>
      <c r="XFC175" s="15"/>
    </row>
    <row r="176" spans="1:16383">
      <c r="A176" s="50"/>
      <c r="B176" s="51"/>
      <c r="C176" s="52" t="s">
        <v>342</v>
      </c>
      <c r="D176" s="52" t="s">
        <v>343</v>
      </c>
      <c r="E176" s="25" t="s">
        <v>76</v>
      </c>
      <c r="F176" s="25" t="s">
        <v>57</v>
      </c>
      <c r="G176" s="52">
        <v>5</v>
      </c>
      <c r="H176" s="52">
        <v>5</v>
      </c>
      <c r="I176" s="55">
        <v>503.503195101111</v>
      </c>
      <c r="J176" s="52">
        <v>159155</v>
      </c>
      <c r="IA176" s="14"/>
      <c r="XFC176" s="15"/>
    </row>
    <row r="177" spans="1:16383">
      <c r="A177" s="50"/>
      <c r="B177" s="51"/>
      <c r="C177" s="52" t="s">
        <v>344</v>
      </c>
      <c r="D177" s="52" t="s">
        <v>122</v>
      </c>
      <c r="E177" s="25" t="s">
        <v>76</v>
      </c>
      <c r="F177" s="25" t="s">
        <v>57</v>
      </c>
      <c r="G177" s="52">
        <v>23</v>
      </c>
      <c r="H177" s="52">
        <v>23</v>
      </c>
      <c r="I177" s="55">
        <v>493.493200117102</v>
      </c>
      <c r="J177" s="52">
        <v>176829</v>
      </c>
      <c r="IA177" s="14"/>
      <c r="XFC177" s="15"/>
    </row>
    <row r="178" spans="1:16383">
      <c r="A178" s="50"/>
      <c r="B178" s="51"/>
      <c r="C178" s="52" t="s">
        <v>345</v>
      </c>
      <c r="D178" s="52" t="s">
        <v>346</v>
      </c>
      <c r="E178" s="25" t="s">
        <v>76</v>
      </c>
      <c r="F178" s="25" t="s">
        <v>57</v>
      </c>
      <c r="G178" s="52">
        <v>10</v>
      </c>
      <c r="H178" s="52">
        <v>10</v>
      </c>
      <c r="I178" s="55">
        <v>501.501183112117</v>
      </c>
      <c r="J178" s="52">
        <v>163435</v>
      </c>
      <c r="IA178" s="14"/>
      <c r="XFC178" s="15"/>
    </row>
    <row r="179" spans="1:16383">
      <c r="A179" s="50"/>
      <c r="B179" s="51"/>
      <c r="C179" s="52" t="s">
        <v>347</v>
      </c>
      <c r="D179" s="52" t="s">
        <v>348</v>
      </c>
      <c r="E179" s="25" t="s">
        <v>76</v>
      </c>
      <c r="F179" s="25" t="s">
        <v>57</v>
      </c>
      <c r="G179" s="52">
        <v>1</v>
      </c>
      <c r="H179" s="52">
        <v>1</v>
      </c>
      <c r="I179" s="55">
        <v>515.515196111106</v>
      </c>
      <c r="J179" s="52">
        <v>137725</v>
      </c>
      <c r="IA179" s="14"/>
      <c r="XFC179" s="15"/>
    </row>
    <row r="180" spans="1:16383">
      <c r="A180" s="50"/>
      <c r="B180" s="51"/>
      <c r="C180" s="52" t="s">
        <v>349</v>
      </c>
      <c r="D180" s="52" t="s">
        <v>350</v>
      </c>
      <c r="E180" s="25" t="s">
        <v>76</v>
      </c>
      <c r="F180" s="25" t="s">
        <v>57</v>
      </c>
      <c r="G180" s="52">
        <v>6</v>
      </c>
      <c r="H180" s="52">
        <v>6</v>
      </c>
      <c r="I180" s="55">
        <v>488.488188111094</v>
      </c>
      <c r="J180" s="52">
        <v>186588</v>
      </c>
      <c r="IA180" s="14"/>
      <c r="XFC180" s="15"/>
    </row>
    <row r="181" spans="1:16383">
      <c r="A181" s="50"/>
      <c r="B181" s="51"/>
      <c r="C181" s="52" t="s">
        <v>351</v>
      </c>
      <c r="D181" s="52" t="s">
        <v>352</v>
      </c>
      <c r="E181" s="25" t="s">
        <v>76</v>
      </c>
      <c r="F181" s="25" t="s">
        <v>57</v>
      </c>
      <c r="G181" s="52">
        <v>7</v>
      </c>
      <c r="H181" s="52">
        <v>7</v>
      </c>
      <c r="I181" s="55">
        <v>488.488197111105</v>
      </c>
      <c r="J181" s="52">
        <v>185995</v>
      </c>
      <c r="IA181" s="14"/>
      <c r="XFC181" s="15"/>
    </row>
    <row r="182" spans="1:16383">
      <c r="A182" s="50"/>
      <c r="B182" s="51"/>
      <c r="C182" s="52" t="s">
        <v>353</v>
      </c>
      <c r="D182" s="52" t="s">
        <v>354</v>
      </c>
      <c r="E182" s="25" t="s">
        <v>76</v>
      </c>
      <c r="F182" s="25" t="s">
        <v>57</v>
      </c>
      <c r="G182" s="52">
        <v>1</v>
      </c>
      <c r="H182" s="52">
        <v>1</v>
      </c>
      <c r="I182" s="55">
        <v>532.532209118133</v>
      </c>
      <c r="J182" s="52">
        <v>108174</v>
      </c>
      <c r="IA182" s="14"/>
      <c r="XFC182" s="15"/>
    </row>
    <row r="183" spans="1:16383">
      <c r="A183" s="50"/>
      <c r="B183" s="51"/>
      <c r="C183" s="52" t="s">
        <v>355</v>
      </c>
      <c r="D183" s="52" t="s">
        <v>356</v>
      </c>
      <c r="E183" s="25" t="s">
        <v>76</v>
      </c>
      <c r="F183" s="25" t="s">
        <v>57</v>
      </c>
      <c r="G183" s="52">
        <v>3</v>
      </c>
      <c r="H183" s="52">
        <v>3</v>
      </c>
      <c r="I183" s="55">
        <v>495.495201113101</v>
      </c>
      <c r="J183" s="52">
        <v>173229</v>
      </c>
      <c r="IA183" s="14"/>
      <c r="XFC183" s="15"/>
    </row>
    <row r="184" spans="1:16383">
      <c r="A184" s="50"/>
      <c r="B184" s="51"/>
      <c r="C184" s="52" t="s">
        <v>357</v>
      </c>
      <c r="D184" s="52" t="s">
        <v>358</v>
      </c>
      <c r="E184" s="25" t="s">
        <v>76</v>
      </c>
      <c r="F184" s="25" t="s">
        <v>57</v>
      </c>
      <c r="G184" s="52">
        <v>3</v>
      </c>
      <c r="H184" s="52">
        <v>3</v>
      </c>
      <c r="I184" s="55">
        <v>494.494195117104</v>
      </c>
      <c r="J184" s="52">
        <v>175254</v>
      </c>
      <c r="IA184" s="14"/>
      <c r="XFC184" s="15"/>
    </row>
    <row r="185" spans="1:16383">
      <c r="A185" s="50"/>
      <c r="B185" s="51"/>
      <c r="C185" s="52" t="s">
        <v>359</v>
      </c>
      <c r="D185" s="52" t="s">
        <v>360</v>
      </c>
      <c r="E185" s="25" t="s">
        <v>76</v>
      </c>
      <c r="F185" s="25" t="s">
        <v>57</v>
      </c>
      <c r="G185" s="52">
        <v>2</v>
      </c>
      <c r="H185" s="52">
        <v>2</v>
      </c>
      <c r="I185" s="55">
        <v>493.49320510708</v>
      </c>
      <c r="J185" s="52">
        <v>176715</v>
      </c>
      <c r="IA185" s="14"/>
      <c r="XFC185" s="15"/>
    </row>
    <row r="186" spans="1:16383">
      <c r="A186" s="50"/>
      <c r="B186" s="51"/>
      <c r="C186" s="52" t="s">
        <v>361</v>
      </c>
      <c r="D186" s="52" t="s">
        <v>362</v>
      </c>
      <c r="E186" s="25" t="s">
        <v>76</v>
      </c>
      <c r="F186" s="25" t="s">
        <v>57</v>
      </c>
      <c r="G186" s="52">
        <v>1</v>
      </c>
      <c r="H186" s="52">
        <v>1</v>
      </c>
      <c r="I186" s="55">
        <v>510.510196107117</v>
      </c>
      <c r="J186" s="52">
        <v>146511</v>
      </c>
      <c r="IA186" s="14"/>
      <c r="XFC186" s="15"/>
    </row>
    <row r="187" spans="1:16383">
      <c r="A187" s="50"/>
      <c r="B187" s="51"/>
      <c r="C187" s="52" t="s">
        <v>363</v>
      </c>
      <c r="D187" s="52" t="s">
        <v>364</v>
      </c>
      <c r="E187" s="25"/>
      <c r="F187" s="53" t="s">
        <v>365</v>
      </c>
      <c r="G187" s="54"/>
      <c r="H187" s="55" t="s">
        <v>363</v>
      </c>
      <c r="I187" s="55" t="s">
        <v>363</v>
      </c>
      <c r="J187" s="52" t="s">
        <v>363</v>
      </c>
      <c r="IA187" s="14"/>
      <c r="XFC187" s="15"/>
    </row>
    <row r="188" spans="1:235">
      <c r="A188" s="56" t="s">
        <v>366</v>
      </c>
      <c r="B188" s="50"/>
      <c r="C188" s="52" t="s">
        <v>367</v>
      </c>
      <c r="D188" s="52" t="s">
        <v>368</v>
      </c>
      <c r="E188" s="52"/>
      <c r="F188" s="52"/>
      <c r="G188" s="52">
        <v>200</v>
      </c>
      <c r="H188" s="52">
        <v>200</v>
      </c>
      <c r="I188" s="55">
        <v>478.478175089118</v>
      </c>
      <c r="J188" s="52">
        <v>205097</v>
      </c>
      <c r="IA188" s="14"/>
    </row>
    <row r="189" spans="1:235">
      <c r="A189" s="57"/>
      <c r="B189" s="50"/>
      <c r="C189" s="52" t="s">
        <v>369</v>
      </c>
      <c r="D189" s="52" t="s">
        <v>370</v>
      </c>
      <c r="E189" s="52"/>
      <c r="F189" s="52"/>
      <c r="G189" s="52">
        <v>157</v>
      </c>
      <c r="H189" s="52">
        <v>157</v>
      </c>
      <c r="I189" s="55">
        <v>468.468168094108</v>
      </c>
      <c r="J189" s="52">
        <v>223180</v>
      </c>
      <c r="IA189" s="14"/>
    </row>
    <row r="190" spans="1:16384">
      <c r="A190" s="58"/>
      <c r="B190" s="50"/>
      <c r="C190" s="52" t="s">
        <v>363</v>
      </c>
      <c r="D190" s="52" t="s">
        <v>371</v>
      </c>
      <c r="E190" s="52"/>
      <c r="F190" s="52" t="s">
        <v>372</v>
      </c>
      <c r="G190" s="52"/>
      <c r="H190" s="52" t="s">
        <v>363</v>
      </c>
      <c r="I190" s="52" t="s">
        <v>363</v>
      </c>
      <c r="J190" s="52" t="s">
        <v>363</v>
      </c>
      <c r="K190" s="62" t="s">
        <v>363</v>
      </c>
      <c r="L190" s="62" t="s">
        <v>363</v>
      </c>
      <c r="IA190" s="14"/>
      <c r="IB190" s="14"/>
      <c r="IC190" s="14"/>
      <c r="XFC190" s="15"/>
      <c r="XFD190" s="15"/>
    </row>
  </sheetData>
  <mergeCells count="40">
    <mergeCell ref="A83:F83"/>
    <mergeCell ref="A147:F147"/>
    <mergeCell ref="A152:F152"/>
    <mergeCell ref="A156:F156"/>
    <mergeCell ref="A158:F158"/>
    <mergeCell ref="A161:F161"/>
    <mergeCell ref="F187:G187"/>
    <mergeCell ref="F190:G190"/>
    <mergeCell ref="A2:A12"/>
    <mergeCell ref="A13:A23"/>
    <mergeCell ref="A24:A32"/>
    <mergeCell ref="A33:A57"/>
    <mergeCell ref="A58:A82"/>
    <mergeCell ref="A84:A146"/>
    <mergeCell ref="A148:A151"/>
    <mergeCell ref="A153:A155"/>
    <mergeCell ref="A159:A160"/>
    <mergeCell ref="A162:A187"/>
    <mergeCell ref="A188:A190"/>
    <mergeCell ref="B58:B61"/>
    <mergeCell ref="B62:B65"/>
    <mergeCell ref="B66:B67"/>
    <mergeCell ref="B69:B74"/>
    <mergeCell ref="B77:B78"/>
    <mergeCell ref="B81:B82"/>
    <mergeCell ref="B84:B85"/>
    <mergeCell ref="B87:B88"/>
    <mergeCell ref="B89:B92"/>
    <mergeCell ref="B96:B97"/>
    <mergeCell ref="B98:B99"/>
    <mergeCell ref="B100:B101"/>
    <mergeCell ref="B105:B107"/>
    <mergeCell ref="B109:B111"/>
    <mergeCell ref="B112:B115"/>
    <mergeCell ref="B116:B117"/>
    <mergeCell ref="B119:B125"/>
    <mergeCell ref="B127:B129"/>
    <mergeCell ref="B130:B134"/>
    <mergeCell ref="B135:B138"/>
    <mergeCell ref="B145:B14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H9" sqref="H9"/>
    </sheetView>
  </sheetViews>
  <sheetFormatPr defaultColWidth="29.875" defaultRowHeight="15.75" outlineLevelCol="6"/>
  <cols>
    <col min="1" max="1" width="4.875" style="1" customWidth="1"/>
    <col min="2" max="3" width="29.875" style="1" customWidth="1"/>
    <col min="4" max="7" width="10" style="1" customWidth="1"/>
    <col min="8" max="16384" width="29.875" style="1" customWidth="1"/>
  </cols>
  <sheetData>
    <row r="1" s="1" customFormat="1" ht="22" customHeight="1" spans="1:7">
      <c r="A1" s="4" t="s">
        <v>373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374</v>
      </c>
      <c r="B2" s="6" t="s">
        <v>375</v>
      </c>
      <c r="C2" s="5" t="s">
        <v>3</v>
      </c>
      <c r="D2" s="7" t="s">
        <v>376</v>
      </c>
      <c r="E2" s="7" t="s">
        <v>377</v>
      </c>
      <c r="F2" s="7" t="s">
        <v>8</v>
      </c>
      <c r="G2" s="7" t="s">
        <v>9</v>
      </c>
    </row>
    <row r="3" s="2" customFormat="1" ht="32" customHeight="1" spans="1:7">
      <c r="A3" s="8">
        <v>1</v>
      </c>
      <c r="B3" s="8" t="s">
        <v>378</v>
      </c>
      <c r="C3" s="8" t="s">
        <v>379</v>
      </c>
      <c r="D3" s="9">
        <v>50</v>
      </c>
      <c r="E3" s="9">
        <v>50</v>
      </c>
      <c r="F3" s="8">
        <v>556</v>
      </c>
      <c r="G3" s="8">
        <v>21089</v>
      </c>
    </row>
    <row r="4" s="2" customFormat="1" ht="32" customHeight="1" spans="1:7">
      <c r="A4" s="8">
        <v>2</v>
      </c>
      <c r="B4" s="8" t="s">
        <v>378</v>
      </c>
      <c r="C4" s="8" t="s">
        <v>380</v>
      </c>
      <c r="D4" s="9">
        <v>10</v>
      </c>
      <c r="E4" s="9">
        <v>10</v>
      </c>
      <c r="F4" s="8">
        <v>543</v>
      </c>
      <c r="G4" s="8">
        <v>27659</v>
      </c>
    </row>
    <row r="5" s="2" customFormat="1" ht="32" customHeight="1" spans="1:7">
      <c r="A5" s="8">
        <v>3</v>
      </c>
      <c r="B5" s="8" t="s">
        <v>381</v>
      </c>
      <c r="C5" s="8" t="s">
        <v>379</v>
      </c>
      <c r="D5" s="8">
        <v>50</v>
      </c>
      <c r="E5" s="8">
        <v>50</v>
      </c>
      <c r="F5" s="8">
        <v>547</v>
      </c>
      <c r="G5" s="8">
        <v>85243</v>
      </c>
    </row>
    <row r="6" s="2" customFormat="1" ht="32" customHeight="1" spans="1:7">
      <c r="A6" s="8">
        <v>4</v>
      </c>
      <c r="B6" s="8" t="s">
        <v>381</v>
      </c>
      <c r="C6" s="8" t="s">
        <v>380</v>
      </c>
      <c r="D6" s="8">
        <v>10</v>
      </c>
      <c r="E6" s="8">
        <v>10</v>
      </c>
      <c r="F6" s="8">
        <v>538</v>
      </c>
      <c r="G6" s="8">
        <v>98925</v>
      </c>
    </row>
    <row r="7" s="3" customFormat="1" ht="32" customHeight="1" spans="1:7">
      <c r="A7" s="8">
        <v>5</v>
      </c>
      <c r="B7" s="10" t="s">
        <v>382</v>
      </c>
      <c r="C7" s="8" t="s">
        <v>383</v>
      </c>
      <c r="D7" s="8">
        <v>25</v>
      </c>
      <c r="E7" s="8">
        <v>25</v>
      </c>
      <c r="F7" s="8">
        <v>577</v>
      </c>
      <c r="G7" s="8">
        <v>1230</v>
      </c>
    </row>
    <row r="8" s="2" customFormat="1" ht="32" customHeight="1" spans="1:7">
      <c r="A8" s="8">
        <v>6</v>
      </c>
      <c r="B8" s="10" t="s">
        <v>381</v>
      </c>
      <c r="C8" s="8" t="s">
        <v>384</v>
      </c>
      <c r="D8" s="8">
        <v>203</v>
      </c>
      <c r="E8" s="8">
        <v>203</v>
      </c>
      <c r="F8" s="8">
        <v>535</v>
      </c>
      <c r="G8" s="8">
        <v>104591</v>
      </c>
    </row>
    <row r="9" s="2" customFormat="1" ht="32" customHeight="1" spans="1:7">
      <c r="A9" s="8">
        <v>7</v>
      </c>
      <c r="B9" s="10" t="s">
        <v>385</v>
      </c>
      <c r="C9" s="8" t="s">
        <v>384</v>
      </c>
      <c r="D9" s="8">
        <v>143</v>
      </c>
      <c r="E9" s="8">
        <v>143</v>
      </c>
      <c r="F9" s="8">
        <v>488</v>
      </c>
      <c r="G9" s="8">
        <v>186588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普通批</vt:lpstr>
      <vt:lpstr>提前批各类别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MrDu</cp:lastModifiedBy>
  <dcterms:created xsi:type="dcterms:W3CDTF">2015-06-05T18:19:00Z</dcterms:created>
  <dcterms:modified xsi:type="dcterms:W3CDTF">2026-06-17T06:58:01Z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36A3DD6013D24D32BEA6EF9BDAB24A32_13</vt:lpwstr>
  </property>
  <property fmtid="{D5CDD505-2E9C-101B-9397-08002B2CF9AE}" pid="3" name="KSOProductBuildVer">
    <vt:lpwstr>2052-12.1.0.21541</vt:lpwstr>
  </property>
</Properties>
</file>