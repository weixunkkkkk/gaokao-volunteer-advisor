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1" sheetId="3" r:id="rId1"/>
  </sheets>
  <definedNames>
    <definedName name="_xlnm._FilterDatabase" localSheetId="0" hidden="1">'1'!$A$1:$L$72</definedName>
    <definedName name="_xlnm.Print_Titles" localSheetId="0">'1'!$2:$4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<sst xmlns="http://schemas.openxmlformats.org/spreadsheetml/2006/main" count="236" uniqueCount="171">
  <si>
    <r>
      <t>仲恺农业工程学院</t>
    </r>
    <r>
      <rPr>
        <b/>
        <sz val="15"/>
        <rFont val="Times New Roman"/>
        <charset val="204"/>
      </rPr>
      <t>2023</t>
    </r>
    <r>
      <rPr>
        <b/>
        <sz val="15"/>
        <rFont val="SimSun"/>
        <charset val="204"/>
      </rPr>
      <t>年夏季高考本科招生录取情况(广东省)</t>
    </r>
  </si>
  <si>
    <t>专业名称</t>
  </si>
  <si>
    <t>历史</t>
  </si>
  <si>
    <t>物理</t>
  </si>
  <si>
    <t>录取数</t>
  </si>
  <si>
    <t>最低分</t>
  </si>
  <si>
    <t>最低
排位</t>
  </si>
  <si>
    <t>最高分</t>
  </si>
  <si>
    <t>最高
排位</t>
  </si>
  <si>
    <t>环境设计</t>
  </si>
  <si>
    <t>最低综合分503，最高综合分506</t>
  </si>
  <si>
    <t>美术专业组最低排位6701</t>
  </si>
  <si>
    <t>视觉传达设计</t>
  </si>
  <si>
    <t>最低综合分506，最高综合分516</t>
  </si>
  <si>
    <t>产品设计</t>
  </si>
  <si>
    <t>最低综合分504，最高综合分514</t>
  </si>
  <si>
    <t>数字媒体艺术</t>
  </si>
  <si>
    <t>最低综合分506，最高综合分514</t>
  </si>
  <si>
    <t>英语</t>
  </si>
  <si>
    <t>501</t>
  </si>
  <si>
    <t>507</t>
  </si>
  <si>
    <t>82734</t>
  </si>
  <si>
    <t>商务英语</t>
  </si>
  <si>
    <t>498</t>
  </si>
  <si>
    <t>509</t>
  </si>
  <si>
    <t>109596</t>
  </si>
  <si>
    <t>日语</t>
  </si>
  <si>
    <t>508</t>
  </si>
  <si>
    <t>105964</t>
  </si>
  <si>
    <t>城乡规划</t>
  </si>
  <si>
    <t>506</t>
  </si>
  <si>
    <t>89639</t>
  </si>
  <si>
    <t>工商管理</t>
  </si>
  <si>
    <t>499</t>
  </si>
  <si>
    <t>113723</t>
  </si>
  <si>
    <t>人力资源管理</t>
  </si>
  <si>
    <t>500</t>
  </si>
  <si>
    <t>91875</t>
  </si>
  <si>
    <t>市场营销</t>
  </si>
  <si>
    <t>111155</t>
  </si>
  <si>
    <t>会计学</t>
  </si>
  <si>
    <t>515</t>
  </si>
  <si>
    <t>519</t>
  </si>
  <si>
    <t>81884</t>
  </si>
  <si>
    <t>农林经济管理</t>
  </si>
  <si>
    <t>502</t>
  </si>
  <si>
    <t>510</t>
  </si>
  <si>
    <t>118891</t>
  </si>
  <si>
    <t>国际经济与贸易</t>
  </si>
  <si>
    <t>94538</t>
  </si>
  <si>
    <t>投资学</t>
  </si>
  <si>
    <t>511</t>
  </si>
  <si>
    <t>105920</t>
  </si>
  <si>
    <t>会展经济与管理</t>
  </si>
  <si>
    <t>114488</t>
  </si>
  <si>
    <t>行政管理</t>
  </si>
  <si>
    <t>102019</t>
  </si>
  <si>
    <t>社会工作</t>
  </si>
  <si>
    <t>102331</t>
  </si>
  <si>
    <t>园林</t>
  </si>
  <si>
    <t>505</t>
  </si>
  <si>
    <t>95778</t>
  </si>
  <si>
    <t>应用化学</t>
  </si>
  <si>
    <t>89354</t>
  </si>
  <si>
    <t>化学工程与工艺</t>
  </si>
  <si>
    <t>101720</t>
  </si>
  <si>
    <t>高分子材料与工程</t>
  </si>
  <si>
    <t>109162</t>
  </si>
  <si>
    <t>材料化学</t>
  </si>
  <si>
    <t>96555</t>
  </si>
  <si>
    <t>食品科学与工程</t>
  </si>
  <si>
    <t>516</t>
  </si>
  <si>
    <t>91688</t>
  </si>
  <si>
    <t>食品科学与工程           （国际班）</t>
  </si>
  <si>
    <t>104220</t>
  </si>
  <si>
    <t>食品质量与安全</t>
  </si>
  <si>
    <t>98607</t>
  </si>
  <si>
    <t>财务管理</t>
  </si>
  <si>
    <t>514</t>
  </si>
  <si>
    <t>512</t>
  </si>
  <si>
    <t>92137</t>
  </si>
  <si>
    <t>文化产业管理</t>
  </si>
  <si>
    <t>503</t>
  </si>
  <si>
    <t>83115</t>
  </si>
  <si>
    <t>园艺</t>
  </si>
  <si>
    <t>91199</t>
  </si>
  <si>
    <t>农学</t>
  </si>
  <si>
    <t>78807</t>
  </si>
  <si>
    <t>植物保护</t>
  </si>
  <si>
    <t>504</t>
  </si>
  <si>
    <t>111668</t>
  </si>
  <si>
    <t>种子科学与工程</t>
  </si>
  <si>
    <t>101287</t>
  </si>
  <si>
    <t>统计学</t>
  </si>
  <si>
    <t>521</t>
  </si>
  <si>
    <t>530</t>
  </si>
  <si>
    <t>88875</t>
  </si>
  <si>
    <t>草业科学</t>
  </si>
  <si>
    <t>128671</t>
  </si>
  <si>
    <t>生物工程</t>
  </si>
  <si>
    <t>99875</t>
  </si>
  <si>
    <t>包装工程</t>
  </si>
  <si>
    <t>120595</t>
  </si>
  <si>
    <t>土木工程</t>
  </si>
  <si>
    <t>89576</t>
  </si>
  <si>
    <t>土木工程（国际班）</t>
  </si>
  <si>
    <t>520</t>
  </si>
  <si>
    <t>114077</t>
  </si>
  <si>
    <t>给排水科学与工程</t>
  </si>
  <si>
    <t>94605</t>
  </si>
  <si>
    <t>生物科学</t>
  </si>
  <si>
    <t>101736</t>
  </si>
  <si>
    <t>生物技术</t>
  </si>
  <si>
    <t>99113</t>
  </si>
  <si>
    <t>动物科学</t>
  </si>
  <si>
    <t>88657</t>
  </si>
  <si>
    <t>水产养殖学</t>
  </si>
  <si>
    <t>99888</t>
  </si>
  <si>
    <t>机械电子工程</t>
  </si>
  <si>
    <t>82877</t>
  </si>
  <si>
    <t>机械设计制造及其        自动化</t>
  </si>
  <si>
    <t>79181</t>
  </si>
  <si>
    <t>能源与动力工程</t>
  </si>
  <si>
    <t>72323</t>
  </si>
  <si>
    <t>电子信息工程</t>
  </si>
  <si>
    <t>535</t>
  </si>
  <si>
    <t>71851</t>
  </si>
  <si>
    <t>计算机科学与技术</t>
  </si>
  <si>
    <t>540</t>
  </si>
  <si>
    <t>61000</t>
  </si>
  <si>
    <t>物联网工程</t>
  </si>
  <si>
    <t>532</t>
  </si>
  <si>
    <t>87432</t>
  </si>
  <si>
    <t>网络工程</t>
  </si>
  <si>
    <t>75249</t>
  </si>
  <si>
    <t>环境工程</t>
  </si>
  <si>
    <t>97845</t>
  </si>
  <si>
    <t>环境科学</t>
  </si>
  <si>
    <t>90924</t>
  </si>
  <si>
    <t>资源环境科学</t>
  </si>
  <si>
    <t>112917</t>
  </si>
  <si>
    <t>信息与计算科学</t>
  </si>
  <si>
    <t>83969</t>
  </si>
  <si>
    <t>自动化</t>
  </si>
  <si>
    <t>531</t>
  </si>
  <si>
    <t>75558</t>
  </si>
  <si>
    <t>电气工程及其自动化</t>
  </si>
  <si>
    <t>73123</t>
  </si>
  <si>
    <t>动物医学</t>
  </si>
  <si>
    <t>58228</t>
  </si>
  <si>
    <t>电气工程及其自动化（国际班）</t>
  </si>
  <si>
    <t>97645</t>
  </si>
  <si>
    <t>数据科学与大数据技术</t>
  </si>
  <si>
    <t>86761</t>
  </si>
  <si>
    <t>食品营养与健康</t>
  </si>
  <si>
    <t>93554</t>
  </si>
  <si>
    <t>机器人工程</t>
  </si>
  <si>
    <t>82334</t>
  </si>
  <si>
    <t>林学</t>
  </si>
  <si>
    <t>97238</t>
  </si>
  <si>
    <t>水生动物医学</t>
  </si>
  <si>
    <t>81735</t>
  </si>
  <si>
    <t>中草药栽培与鉴定</t>
  </si>
  <si>
    <t>102920</t>
  </si>
  <si>
    <t>农业工程</t>
  </si>
  <si>
    <t>104067</t>
  </si>
  <si>
    <t>包装工程(应用技术类，与中山火炬职业技术学院协同培养)</t>
  </si>
  <si>
    <t>494</t>
  </si>
  <si>
    <t>135727</t>
  </si>
  <si>
    <t>共计</t>
  </si>
  <si>
    <t xml:space="preserve">备注：2023年夏季高考广东省共录取考生4084人，其中艺术类300人，历史类625人，物理类3159人。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</si>
</sst>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rgb="FF000000"/>
      <name val="Arial"/>
      <charset val="204"/>
    </font>
    <font>
      <sz val="11"/>
      <color rgb="FFFF0000"/>
      <name val="Arial"/>
      <charset val="204"/>
    </font>
    <font>
      <b/>
      <sz val="15"/>
      <name val="SimSun"/>
      <charset val="204"/>
    </font>
    <font>
      <b/>
      <sz val="12"/>
      <name val="FangSong"/>
      <charset val="134"/>
    </font>
    <font>
      <b/>
      <sz val="12"/>
      <name val="Times New Roman"/>
      <charset val="134"/>
    </font>
    <font>
      <sz val="12"/>
      <name val="Times New Roman"/>
      <charset val="204"/>
    </font>
    <font>
      <sz val="12"/>
      <name val="仿宋"/>
      <charset val="204"/>
    </font>
    <font>
      <sz val="12"/>
      <name val="Times New Roman"/>
      <charset val="134"/>
    </font>
    <font>
      <b/>
      <sz val="12"/>
      <color rgb="FF000000"/>
      <name val="仿宋"/>
      <charset val="204"/>
    </font>
    <font>
      <sz val="11"/>
      <color rgb="FF000000"/>
      <name val="宋体"/>
      <charset val="204"/>
    </font>
    <font>
      <sz val="12"/>
      <color rgb="FF000000"/>
      <name val="Times New Roman"/>
      <charset val="204"/>
    </font>
    <font>
      <sz val="12"/>
      <color theme="1"/>
      <name val="Times New Roman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name val="Times New Roman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2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26" applyNumberFormat="0" applyAlignment="0" applyProtection="0">
      <alignment vertical="center"/>
    </xf>
    <xf numFmtId="0" fontId="22" fillId="4" borderId="27" applyNumberFormat="0" applyAlignment="0" applyProtection="0">
      <alignment vertical="center"/>
    </xf>
    <xf numFmtId="0" fontId="23" fillId="4" borderId="26" applyNumberFormat="0" applyAlignment="0" applyProtection="0">
      <alignment vertical="center"/>
    </xf>
    <xf numFmtId="0" fontId="24" fillId="5" borderId="28" applyNumberFormat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48">
    <xf numFmtId="49" fontId="0" fillId="0" borderId="0" xfId="0" applyNumberFormat="1" applyFill="1" applyBorder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6" fillId="0" borderId="11" xfId="0" applyNumberFormat="1" applyFont="1" applyFill="1" applyBorder="1" applyAlignment="1">
      <alignment horizontal="center" vertical="center" wrapText="1"/>
    </xf>
    <xf numFmtId="0" fontId="6" fillId="0" borderId="12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8" xfId="0" applyNumberFormat="1" applyFont="1" applyFill="1" applyBorder="1" applyAlignment="1">
      <alignment horizontal="center" vertical="center" wrapText="1"/>
    </xf>
    <xf numFmtId="0" fontId="7" fillId="0" borderId="13" xfId="0" applyNumberFormat="1" applyFont="1" applyFill="1" applyBorder="1" applyAlignment="1">
      <alignment horizontal="center" vertical="center" wrapText="1"/>
    </xf>
    <xf numFmtId="0" fontId="5" fillId="0" borderId="13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3" fillId="0" borderId="14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center" vertical="center" wrapText="1"/>
    </xf>
    <xf numFmtId="0" fontId="6" fillId="0" borderId="15" xfId="0" applyNumberFormat="1" applyFont="1" applyFill="1" applyBorder="1" applyAlignment="1">
      <alignment horizontal="center" vertical="center" wrapText="1"/>
    </xf>
    <xf numFmtId="0" fontId="6" fillId="0" borderId="16" xfId="0" applyNumberFormat="1" applyFont="1" applyFill="1" applyBorder="1" applyAlignment="1">
      <alignment horizontal="center" vertical="center" wrapText="1"/>
    </xf>
    <xf numFmtId="0" fontId="6" fillId="0" borderId="14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vertical="center" wrapText="1"/>
    </xf>
    <xf numFmtId="0" fontId="6" fillId="0" borderId="17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 wrapText="1"/>
    </xf>
    <xf numFmtId="0" fontId="6" fillId="0" borderId="18" xfId="0" applyNumberFormat="1" applyFont="1" applyFill="1" applyBorder="1" applyAlignment="1">
      <alignment horizontal="center" vertical="center" wrapText="1"/>
    </xf>
    <xf numFmtId="0" fontId="6" fillId="0" borderId="19" xfId="0" applyNumberFormat="1" applyFont="1" applyFill="1" applyBorder="1" applyAlignment="1">
      <alignment horizontal="center" vertical="center" wrapText="1"/>
    </xf>
    <xf numFmtId="0" fontId="6" fillId="0" borderId="20" xfId="0" applyNumberFormat="1" applyFont="1" applyFill="1" applyBorder="1" applyAlignment="1">
      <alignment horizontal="center" vertical="center" wrapText="1"/>
    </xf>
    <xf numFmtId="0" fontId="6" fillId="0" borderId="21" xfId="0" applyNumberFormat="1" applyFont="1" applyFill="1" applyBorder="1" applyAlignment="1">
      <alignment horizontal="center" vertical="center" wrapText="1"/>
    </xf>
    <xf numFmtId="0" fontId="7" fillId="0" borderId="21" xfId="0" applyNumberFormat="1" applyFont="1" applyFill="1" applyBorder="1" applyAlignment="1">
      <alignment horizontal="center" vertical="center" wrapText="1"/>
    </xf>
    <xf numFmtId="49" fontId="10" fillId="0" borderId="13" xfId="0" applyNumberFormat="1" applyFont="1" applyFill="1" applyBorder="1" applyAlignment="1">
      <alignment horizontal="center" vertical="center" wrapText="1"/>
    </xf>
    <xf numFmtId="0" fontId="7" fillId="0" borderId="22" xfId="0" applyNumberFormat="1" applyFont="1" applyFill="1" applyBorder="1" applyAlignment="1">
      <alignment horizontal="center" vertical="center" wrapText="1"/>
    </xf>
    <xf numFmtId="49" fontId="10" fillId="0" borderId="8" xfId="0" applyNumberFormat="1" applyFont="1" applyFill="1" applyBorder="1" applyAlignment="1">
      <alignment horizontal="center" vertical="center" wrapText="1"/>
    </xf>
    <xf numFmtId="49" fontId="11" fillId="0" borderId="8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49" fontId="5" fillId="0" borderId="9" xfId="0" applyNumberFormat="1" applyFont="1" applyFill="1" applyBorder="1" applyAlignment="1">
      <alignment horizontal="center" vertical="center" wrapText="1"/>
    </xf>
    <xf numFmtId="0" fontId="7" fillId="0" borderId="9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Alignment="1">
      <alignment vertical="top" wrapText="1"/>
    </xf>
    <xf numFmtId="0" fontId="7" fillId="0" borderId="13" xfId="0" applyNumberFormat="1" applyFont="1" applyFill="1" applyBorder="1" applyAlignment="1" quotePrefix="1">
      <alignment horizontal="center" vertical="center" wrapText="1"/>
    </xf>
    <xf numFmtId="0" fontId="7" fillId="0" borderId="8" xfId="0" applyNumberFormat="1" applyFont="1" applyFill="1" applyBorder="1" applyAlignment="1" quotePrefix="1">
      <alignment horizontal="center" vertical="center" wrapText="1"/>
    </xf>
    <xf numFmtId="0" fontId="7" fillId="0" borderId="9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"/>
  <sheetViews>
    <sheetView tabSelected="1" workbookViewId="0">
      <pane ySplit="4" topLeftCell="A5" activePane="bottomLeft" state="frozen"/>
      <selection/>
      <selection pane="bottomLeft" activeCell="B5" sqref="B5:B8"/>
    </sheetView>
  </sheetViews>
  <sheetFormatPr defaultColWidth="10.2833333333333" defaultRowHeight="14.25"/>
  <cols>
    <col min="1" max="1" width="21.875" customWidth="1"/>
    <col min="2" max="8" width="13.625" customWidth="1"/>
  </cols>
  <sheetData>
    <row r="1" customFormat="1" ht="32" customHeight="1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25"/>
    </row>
    <row r="2" customFormat="1" ht="16.5" customHeight="1" spans="1:11">
      <c r="A2" s="4" t="s">
        <v>1</v>
      </c>
      <c r="B2" s="5">
        <v>2023</v>
      </c>
      <c r="C2" s="6"/>
      <c r="D2" s="6"/>
      <c r="E2" s="6"/>
      <c r="F2" s="6"/>
      <c r="G2" s="6"/>
      <c r="H2" s="6"/>
      <c r="I2" s="6"/>
      <c r="J2" s="6"/>
      <c r="K2" s="26"/>
    </row>
    <row r="3" customFormat="1" ht="16.5" customHeight="1" spans="1:11">
      <c r="A3" s="7"/>
      <c r="B3" s="8" t="s">
        <v>2</v>
      </c>
      <c r="C3" s="9"/>
      <c r="D3" s="9"/>
      <c r="E3" s="9"/>
      <c r="F3" s="10"/>
      <c r="G3" s="11" t="s">
        <v>3</v>
      </c>
      <c r="H3" s="12"/>
      <c r="I3" s="12"/>
      <c r="J3" s="9"/>
      <c r="K3" s="10"/>
    </row>
    <row r="4" customFormat="1" ht="56.4" customHeight="1" spans="1:11">
      <c r="A4" s="7"/>
      <c r="B4" s="13" t="s">
        <v>4</v>
      </c>
      <c r="C4" s="14" t="s">
        <v>5</v>
      </c>
      <c r="D4" s="14" t="s">
        <v>6</v>
      </c>
      <c r="E4" s="14" t="s">
        <v>7</v>
      </c>
      <c r="F4" s="14" t="s">
        <v>8</v>
      </c>
      <c r="G4" s="15" t="s">
        <v>4</v>
      </c>
      <c r="H4" s="15" t="s">
        <v>5</v>
      </c>
      <c r="I4" s="15" t="s">
        <v>6</v>
      </c>
      <c r="J4" s="27" t="s">
        <v>7</v>
      </c>
      <c r="K4" s="28" t="s">
        <v>8</v>
      </c>
    </row>
    <row r="5" customFormat="1" ht="15.75" spans="1:12">
      <c r="A5" s="4" t="s">
        <v>9</v>
      </c>
      <c r="B5" s="16">
        <v>95</v>
      </c>
      <c r="C5" s="17" t="s">
        <v>10</v>
      </c>
      <c r="D5" s="18"/>
      <c r="E5" s="18"/>
      <c r="F5" s="18"/>
      <c r="G5" s="18"/>
      <c r="H5" s="18"/>
      <c r="I5" s="29" t="s">
        <v>11</v>
      </c>
      <c r="J5" s="30"/>
      <c r="K5" s="31"/>
      <c r="L5" s="32"/>
    </row>
    <row r="6" customFormat="1" ht="15.75" spans="1:12">
      <c r="A6" s="4" t="s">
        <v>12</v>
      </c>
      <c r="B6" s="16">
        <v>55</v>
      </c>
      <c r="C6" s="17" t="s">
        <v>13</v>
      </c>
      <c r="D6" s="18"/>
      <c r="E6" s="18"/>
      <c r="F6" s="18"/>
      <c r="G6" s="18"/>
      <c r="H6" s="18"/>
      <c r="I6" s="33"/>
      <c r="J6" s="34"/>
      <c r="K6" s="35"/>
      <c r="L6" s="32"/>
    </row>
    <row r="7" customFormat="1" ht="15.75" spans="1:12">
      <c r="A7" s="4" t="s">
        <v>14</v>
      </c>
      <c r="B7" s="16">
        <v>95</v>
      </c>
      <c r="C7" s="17" t="s">
        <v>15</v>
      </c>
      <c r="D7" s="18"/>
      <c r="E7" s="18"/>
      <c r="F7" s="18"/>
      <c r="G7" s="18"/>
      <c r="H7" s="18"/>
      <c r="I7" s="33"/>
      <c r="J7" s="34"/>
      <c r="K7" s="35"/>
      <c r="L7" s="32"/>
    </row>
    <row r="8" customFormat="1" ht="15.75" spans="1:12">
      <c r="A8" s="4" t="s">
        <v>16</v>
      </c>
      <c r="B8" s="19">
        <v>55</v>
      </c>
      <c r="C8" s="17" t="s">
        <v>17</v>
      </c>
      <c r="D8" s="18"/>
      <c r="E8" s="18"/>
      <c r="F8" s="18"/>
      <c r="G8" s="18"/>
      <c r="H8" s="18"/>
      <c r="I8" s="36"/>
      <c r="J8" s="37"/>
      <c r="K8" s="38"/>
      <c r="L8" s="32"/>
    </row>
    <row r="9" customFormat="1" ht="15.75" spans="1:11">
      <c r="A9" s="8" t="s">
        <v>18</v>
      </c>
      <c r="B9" s="20">
        <v>46</v>
      </c>
      <c r="C9" s="48" t="s">
        <v>19</v>
      </c>
      <c r="D9" s="21">
        <v>39102</v>
      </c>
      <c r="E9" s="21">
        <v>536</v>
      </c>
      <c r="F9" s="21">
        <v>20792</v>
      </c>
      <c r="G9" s="22">
        <v>45</v>
      </c>
      <c r="H9" s="48" t="s">
        <v>20</v>
      </c>
      <c r="I9" s="21">
        <v>131330</v>
      </c>
      <c r="J9" s="39">
        <v>543</v>
      </c>
      <c r="K9" s="40" t="s">
        <v>21</v>
      </c>
    </row>
    <row r="10" customFormat="1" ht="15.75" spans="1:11">
      <c r="A10" s="8" t="s">
        <v>22</v>
      </c>
      <c r="B10" s="20">
        <v>45</v>
      </c>
      <c r="C10" s="49" t="s">
        <v>23</v>
      </c>
      <c r="D10" s="23">
        <v>41004</v>
      </c>
      <c r="E10" s="23">
        <v>522</v>
      </c>
      <c r="F10" s="23">
        <v>27314</v>
      </c>
      <c r="G10" s="20">
        <v>19</v>
      </c>
      <c r="H10" s="49" t="s">
        <v>24</v>
      </c>
      <c r="I10" s="23">
        <v>128829</v>
      </c>
      <c r="J10" s="41">
        <v>523</v>
      </c>
      <c r="K10" s="42" t="s">
        <v>25</v>
      </c>
    </row>
    <row r="11" customFormat="1" ht="15.75" spans="1:11">
      <c r="A11" s="8" t="s">
        <v>26</v>
      </c>
      <c r="B11" s="20">
        <v>30</v>
      </c>
      <c r="C11" s="49" t="s">
        <v>23</v>
      </c>
      <c r="D11" s="23">
        <v>41128</v>
      </c>
      <c r="E11" s="23">
        <v>538</v>
      </c>
      <c r="F11" s="23">
        <v>19938</v>
      </c>
      <c r="G11" s="20">
        <v>20</v>
      </c>
      <c r="H11" s="49" t="s">
        <v>27</v>
      </c>
      <c r="I11" s="23">
        <v>129722</v>
      </c>
      <c r="J11" s="41">
        <v>525</v>
      </c>
      <c r="K11" s="42" t="s">
        <v>28</v>
      </c>
    </row>
    <row r="12" customFormat="1" ht="15.75" spans="1:11">
      <c r="A12" s="8" t="s">
        <v>29</v>
      </c>
      <c r="B12" s="20">
        <v>15</v>
      </c>
      <c r="C12" s="49" t="s">
        <v>30</v>
      </c>
      <c r="D12" s="23">
        <v>36324</v>
      </c>
      <c r="E12" s="23">
        <v>515</v>
      </c>
      <c r="F12" s="23">
        <v>30617</v>
      </c>
      <c r="G12" s="20">
        <v>50</v>
      </c>
      <c r="H12" s="49" t="s">
        <v>20</v>
      </c>
      <c r="I12" s="23">
        <v>131729</v>
      </c>
      <c r="J12" s="41">
        <v>538</v>
      </c>
      <c r="K12" s="42" t="s">
        <v>31</v>
      </c>
    </row>
    <row r="13" customFormat="1" ht="15.75" spans="1:11">
      <c r="A13" s="8" t="s">
        <v>32</v>
      </c>
      <c r="B13" s="20">
        <v>42</v>
      </c>
      <c r="C13" s="49" t="s">
        <v>33</v>
      </c>
      <c r="D13" s="23">
        <v>40253</v>
      </c>
      <c r="E13" s="23">
        <v>527</v>
      </c>
      <c r="F13" s="23">
        <v>24561</v>
      </c>
      <c r="G13" s="20">
        <v>46</v>
      </c>
      <c r="H13" s="49" t="s">
        <v>20</v>
      </c>
      <c r="I13" s="23">
        <v>131537</v>
      </c>
      <c r="J13" s="41">
        <v>520</v>
      </c>
      <c r="K13" s="42" t="s">
        <v>34</v>
      </c>
    </row>
    <row r="14" customFormat="1" ht="15.75" spans="1:11">
      <c r="A14" s="8" t="s">
        <v>35</v>
      </c>
      <c r="B14" s="20">
        <v>44</v>
      </c>
      <c r="C14" s="49" t="s">
        <v>36</v>
      </c>
      <c r="D14" s="23">
        <v>39476</v>
      </c>
      <c r="E14" s="23">
        <v>514</v>
      </c>
      <c r="F14" s="23">
        <v>31377</v>
      </c>
      <c r="G14" s="20">
        <v>22</v>
      </c>
      <c r="H14" s="49" t="s">
        <v>27</v>
      </c>
      <c r="I14" s="23">
        <v>130677</v>
      </c>
      <c r="J14" s="41">
        <v>536</v>
      </c>
      <c r="K14" s="42" t="s">
        <v>37</v>
      </c>
    </row>
    <row r="15" customFormat="1" ht="15.75" spans="1:11">
      <c r="A15" s="8" t="s">
        <v>38</v>
      </c>
      <c r="B15" s="20">
        <v>39</v>
      </c>
      <c r="C15" s="49" t="s">
        <v>33</v>
      </c>
      <c r="D15" s="23">
        <v>40537</v>
      </c>
      <c r="E15" s="23">
        <v>518</v>
      </c>
      <c r="F15" s="23">
        <v>29147</v>
      </c>
      <c r="G15" s="20">
        <v>33</v>
      </c>
      <c r="H15" s="49" t="s">
        <v>20</v>
      </c>
      <c r="I15" s="23">
        <v>131297</v>
      </c>
      <c r="J15" s="41">
        <v>522</v>
      </c>
      <c r="K15" s="42" t="s">
        <v>39</v>
      </c>
    </row>
    <row r="16" customFormat="1" ht="15.75" spans="1:11">
      <c r="A16" s="8" t="s">
        <v>40</v>
      </c>
      <c r="B16" s="20">
        <v>42</v>
      </c>
      <c r="C16" s="49" t="s">
        <v>41</v>
      </c>
      <c r="D16" s="23">
        <v>30965</v>
      </c>
      <c r="E16" s="23">
        <v>534</v>
      </c>
      <c r="F16" s="23">
        <v>21674</v>
      </c>
      <c r="G16" s="20">
        <v>47</v>
      </c>
      <c r="H16" s="49" t="s">
        <v>42</v>
      </c>
      <c r="I16" s="23">
        <v>115247</v>
      </c>
      <c r="J16" s="41">
        <v>544</v>
      </c>
      <c r="K16" s="42" t="s">
        <v>43</v>
      </c>
    </row>
    <row r="17" customFormat="1" ht="15.75" spans="1:11">
      <c r="A17" s="8" t="s">
        <v>44</v>
      </c>
      <c r="B17" s="20">
        <v>20</v>
      </c>
      <c r="C17" s="49" t="s">
        <v>45</v>
      </c>
      <c r="D17" s="23">
        <v>38406</v>
      </c>
      <c r="E17" s="23">
        <v>528</v>
      </c>
      <c r="F17" s="23">
        <v>24165</v>
      </c>
      <c r="G17" s="20">
        <v>19</v>
      </c>
      <c r="H17" s="49" t="s">
        <v>46</v>
      </c>
      <c r="I17" s="23">
        <v>127160</v>
      </c>
      <c r="J17" s="41">
        <v>516</v>
      </c>
      <c r="K17" s="42" t="s">
        <v>47</v>
      </c>
    </row>
    <row r="18" customFormat="1" ht="15.75" spans="1:11">
      <c r="A18" s="8" t="s">
        <v>48</v>
      </c>
      <c r="B18" s="20">
        <v>44</v>
      </c>
      <c r="C18" s="49" t="s">
        <v>33</v>
      </c>
      <c r="D18" s="23">
        <v>40146</v>
      </c>
      <c r="E18" s="23">
        <v>521</v>
      </c>
      <c r="F18" s="23">
        <v>27446</v>
      </c>
      <c r="G18" s="20">
        <v>44</v>
      </c>
      <c r="H18" s="49" t="s">
        <v>20</v>
      </c>
      <c r="I18" s="23">
        <v>131702</v>
      </c>
      <c r="J18" s="41">
        <v>534</v>
      </c>
      <c r="K18" s="42" t="s">
        <v>49</v>
      </c>
    </row>
    <row r="19" customFormat="1" ht="15.75" spans="1:11">
      <c r="A19" s="8" t="s">
        <v>50</v>
      </c>
      <c r="B19" s="20">
        <v>44</v>
      </c>
      <c r="C19" s="49" t="s">
        <v>51</v>
      </c>
      <c r="D19" s="23">
        <v>33051</v>
      </c>
      <c r="E19" s="23">
        <v>520</v>
      </c>
      <c r="F19" s="23">
        <v>27943</v>
      </c>
      <c r="G19" s="20">
        <v>44</v>
      </c>
      <c r="H19" s="49" t="s">
        <v>46</v>
      </c>
      <c r="I19" s="23">
        <v>127256</v>
      </c>
      <c r="J19" s="41">
        <v>526</v>
      </c>
      <c r="K19" s="42" t="s">
        <v>52</v>
      </c>
    </row>
    <row r="20" customFormat="1" ht="15.75" spans="1:11">
      <c r="A20" s="8" t="s">
        <v>53</v>
      </c>
      <c r="B20" s="20">
        <v>44</v>
      </c>
      <c r="C20" s="49" t="s">
        <v>23</v>
      </c>
      <c r="D20" s="23">
        <v>41137</v>
      </c>
      <c r="E20" s="23">
        <v>513</v>
      </c>
      <c r="F20" s="23">
        <v>31667</v>
      </c>
      <c r="G20" s="20">
        <v>22</v>
      </c>
      <c r="H20" s="49" t="s">
        <v>46</v>
      </c>
      <c r="I20" s="23">
        <v>127245</v>
      </c>
      <c r="J20" s="41">
        <v>519</v>
      </c>
      <c r="K20" s="42" t="s">
        <v>54</v>
      </c>
    </row>
    <row r="21" customFormat="1" ht="15.75" spans="1:11">
      <c r="A21" s="8" t="s">
        <v>55</v>
      </c>
      <c r="B21" s="20">
        <v>29</v>
      </c>
      <c r="C21" s="49" t="s">
        <v>36</v>
      </c>
      <c r="D21" s="23">
        <v>39778</v>
      </c>
      <c r="E21" s="23">
        <v>521</v>
      </c>
      <c r="F21" s="23">
        <v>27871</v>
      </c>
      <c r="G21" s="20">
        <v>32</v>
      </c>
      <c r="H21" s="49" t="s">
        <v>27</v>
      </c>
      <c r="I21" s="23">
        <v>130905</v>
      </c>
      <c r="J21" s="41">
        <v>528</v>
      </c>
      <c r="K21" s="42" t="s">
        <v>56</v>
      </c>
    </row>
    <row r="22" customFormat="1" ht="15.75" spans="1:11">
      <c r="A22" s="8" t="s">
        <v>57</v>
      </c>
      <c r="B22" s="20">
        <v>21</v>
      </c>
      <c r="C22" s="49" t="s">
        <v>19</v>
      </c>
      <c r="D22" s="23">
        <v>39369</v>
      </c>
      <c r="E22" s="23">
        <v>518</v>
      </c>
      <c r="F22" s="23">
        <v>29206</v>
      </c>
      <c r="G22" s="20">
        <v>19</v>
      </c>
      <c r="H22" s="49" t="s">
        <v>20</v>
      </c>
      <c r="I22" s="23">
        <v>131439</v>
      </c>
      <c r="J22" s="41">
        <v>528</v>
      </c>
      <c r="K22" s="42" t="s">
        <v>58</v>
      </c>
    </row>
    <row r="23" customFormat="1" ht="15.75" spans="1:11">
      <c r="A23" s="8" t="s">
        <v>59</v>
      </c>
      <c r="B23" s="20">
        <v>19</v>
      </c>
      <c r="C23" s="49" t="s">
        <v>60</v>
      </c>
      <c r="D23" s="23">
        <v>36629</v>
      </c>
      <c r="E23" s="23">
        <v>524</v>
      </c>
      <c r="F23" s="23">
        <v>26016</v>
      </c>
      <c r="G23" s="20">
        <v>46</v>
      </c>
      <c r="H23" s="49" t="s">
        <v>20</v>
      </c>
      <c r="I23" s="23">
        <v>132076</v>
      </c>
      <c r="J23" s="41">
        <v>533</v>
      </c>
      <c r="K23" s="42" t="s">
        <v>61</v>
      </c>
    </row>
    <row r="24" customFormat="1" ht="15.75" spans="1:11">
      <c r="A24" s="8" t="s">
        <v>62</v>
      </c>
      <c r="B24" s="20"/>
      <c r="C24" s="20"/>
      <c r="D24" s="20"/>
      <c r="E24" s="20"/>
      <c r="F24" s="20"/>
      <c r="G24" s="20">
        <v>90</v>
      </c>
      <c r="H24" s="49" t="s">
        <v>60</v>
      </c>
      <c r="I24" s="23">
        <v>134732</v>
      </c>
      <c r="J24" s="41">
        <v>538</v>
      </c>
      <c r="K24" s="42" t="s">
        <v>63</v>
      </c>
    </row>
    <row r="25" customFormat="1" ht="15.75" spans="1:11">
      <c r="A25" s="8" t="s">
        <v>64</v>
      </c>
      <c r="B25" s="20"/>
      <c r="C25" s="20"/>
      <c r="D25" s="20"/>
      <c r="E25" s="20"/>
      <c r="F25" s="20"/>
      <c r="G25" s="20">
        <v>65</v>
      </c>
      <c r="H25" s="49" t="s">
        <v>30</v>
      </c>
      <c r="I25" s="23">
        <v>133447</v>
      </c>
      <c r="J25" s="41">
        <v>529</v>
      </c>
      <c r="K25" s="42" t="s">
        <v>65</v>
      </c>
    </row>
    <row r="26" customFormat="1" ht="15.75" spans="1:11">
      <c r="A26" s="8" t="s">
        <v>66</v>
      </c>
      <c r="B26" s="20"/>
      <c r="C26" s="20"/>
      <c r="D26" s="20"/>
      <c r="E26" s="20"/>
      <c r="F26" s="20"/>
      <c r="G26" s="20">
        <v>70</v>
      </c>
      <c r="H26" s="49" t="s">
        <v>60</v>
      </c>
      <c r="I26" s="23">
        <v>134039</v>
      </c>
      <c r="J26" s="41">
        <v>523</v>
      </c>
      <c r="K26" s="42" t="s">
        <v>67</v>
      </c>
    </row>
    <row r="27" customFormat="1" ht="15.75" spans="1:11">
      <c r="A27" s="8" t="s">
        <v>68</v>
      </c>
      <c r="B27" s="20"/>
      <c r="C27" s="20"/>
      <c r="D27" s="20"/>
      <c r="E27" s="20"/>
      <c r="F27" s="20"/>
      <c r="G27" s="20">
        <v>28</v>
      </c>
      <c r="H27" s="49" t="s">
        <v>60</v>
      </c>
      <c r="I27" s="23">
        <v>133971</v>
      </c>
      <c r="J27" s="41">
        <v>532</v>
      </c>
      <c r="K27" s="42" t="s">
        <v>69</v>
      </c>
    </row>
    <row r="28" customFormat="1" ht="15.75" spans="1:11">
      <c r="A28" s="8" t="s">
        <v>70</v>
      </c>
      <c r="B28" s="20">
        <v>10</v>
      </c>
      <c r="C28" s="49" t="s">
        <v>41</v>
      </c>
      <c r="D28" s="23">
        <v>30753</v>
      </c>
      <c r="E28" s="23">
        <v>531</v>
      </c>
      <c r="F28" s="23">
        <v>22749</v>
      </c>
      <c r="G28" s="20">
        <v>57</v>
      </c>
      <c r="H28" s="49" t="s">
        <v>71</v>
      </c>
      <c r="I28" s="23">
        <v>118693</v>
      </c>
      <c r="J28" s="41">
        <v>536</v>
      </c>
      <c r="K28" s="42" t="s">
        <v>72</v>
      </c>
    </row>
    <row r="29" customFormat="1" ht="28.5" spans="1:11">
      <c r="A29" s="8" t="s">
        <v>73</v>
      </c>
      <c r="B29" s="20"/>
      <c r="C29" s="20"/>
      <c r="D29" s="20"/>
      <c r="E29" s="20"/>
      <c r="F29" s="20"/>
      <c r="G29" s="20">
        <v>6</v>
      </c>
      <c r="H29" s="49" t="s">
        <v>30</v>
      </c>
      <c r="I29" s="23">
        <v>133677</v>
      </c>
      <c r="J29" s="41">
        <v>527</v>
      </c>
      <c r="K29" s="42" t="s">
        <v>74</v>
      </c>
    </row>
    <row r="30" customFormat="1" ht="15.75" spans="1:11">
      <c r="A30" s="8" t="s">
        <v>75</v>
      </c>
      <c r="B30" s="20"/>
      <c r="C30" s="20"/>
      <c r="D30" s="20"/>
      <c r="E30" s="20"/>
      <c r="F30" s="20"/>
      <c r="G30" s="20">
        <v>50</v>
      </c>
      <c r="H30" s="49" t="s">
        <v>51</v>
      </c>
      <c r="I30" s="23">
        <v>125942</v>
      </c>
      <c r="J30" s="41">
        <v>531</v>
      </c>
      <c r="K30" s="42" t="s">
        <v>76</v>
      </c>
    </row>
    <row r="31" customFormat="1" ht="15.75" spans="1:11">
      <c r="A31" s="8" t="s">
        <v>77</v>
      </c>
      <c r="B31" s="20">
        <v>7</v>
      </c>
      <c r="C31" s="49" t="s">
        <v>78</v>
      </c>
      <c r="D31" s="23">
        <v>31311</v>
      </c>
      <c r="E31" s="23">
        <v>524</v>
      </c>
      <c r="F31" s="23">
        <v>25996</v>
      </c>
      <c r="G31" s="20">
        <v>78</v>
      </c>
      <c r="H31" s="49" t="s">
        <v>79</v>
      </c>
      <c r="I31" s="23">
        <v>124440</v>
      </c>
      <c r="J31" s="41">
        <v>536</v>
      </c>
      <c r="K31" s="42" t="s">
        <v>80</v>
      </c>
    </row>
    <row r="32" customFormat="1" ht="15.75" spans="1:11">
      <c r="A32" s="8" t="s">
        <v>81</v>
      </c>
      <c r="B32" s="20">
        <v>28</v>
      </c>
      <c r="C32" s="49" t="s">
        <v>82</v>
      </c>
      <c r="D32" s="23">
        <v>37928</v>
      </c>
      <c r="E32" s="23">
        <v>524</v>
      </c>
      <c r="F32" s="23">
        <v>26260</v>
      </c>
      <c r="G32" s="20">
        <v>20</v>
      </c>
      <c r="H32" s="49" t="s">
        <v>20</v>
      </c>
      <c r="I32" s="23">
        <v>131705</v>
      </c>
      <c r="J32" s="41">
        <v>543</v>
      </c>
      <c r="K32" s="42" t="s">
        <v>83</v>
      </c>
    </row>
    <row r="33" customFormat="1" ht="15.75" spans="1:11">
      <c r="A33" s="8" t="s">
        <v>84</v>
      </c>
      <c r="B33" s="20">
        <v>11</v>
      </c>
      <c r="C33" s="49" t="s">
        <v>30</v>
      </c>
      <c r="D33" s="23">
        <v>36056</v>
      </c>
      <c r="E33" s="23">
        <v>527</v>
      </c>
      <c r="F33" s="23">
        <v>24793</v>
      </c>
      <c r="G33" s="20">
        <v>48</v>
      </c>
      <c r="H33" s="49" t="s">
        <v>60</v>
      </c>
      <c r="I33" s="23">
        <v>134172</v>
      </c>
      <c r="J33" s="41">
        <v>537</v>
      </c>
      <c r="K33" s="42" t="s">
        <v>85</v>
      </c>
    </row>
    <row r="34" customFormat="1" ht="15.75" spans="1:11">
      <c r="A34" s="8" t="s">
        <v>86</v>
      </c>
      <c r="B34" s="20">
        <v>7</v>
      </c>
      <c r="C34" s="49" t="s">
        <v>27</v>
      </c>
      <c r="D34" s="23">
        <v>34587</v>
      </c>
      <c r="E34" s="23">
        <v>516</v>
      </c>
      <c r="F34" s="23">
        <v>30437</v>
      </c>
      <c r="G34" s="20">
        <v>22</v>
      </c>
      <c r="H34" s="49" t="s">
        <v>24</v>
      </c>
      <c r="I34" s="23">
        <v>128244</v>
      </c>
      <c r="J34" s="41">
        <v>547</v>
      </c>
      <c r="K34" s="42" t="s">
        <v>87</v>
      </c>
    </row>
    <row r="35" customFormat="1" ht="15.75" spans="1:11">
      <c r="A35" s="8" t="s">
        <v>88</v>
      </c>
      <c r="B35" s="20">
        <v>13</v>
      </c>
      <c r="C35" s="49" t="s">
        <v>89</v>
      </c>
      <c r="D35" s="23">
        <v>37203</v>
      </c>
      <c r="E35" s="23">
        <v>517</v>
      </c>
      <c r="F35" s="23">
        <v>29573</v>
      </c>
      <c r="G35" s="20">
        <v>39</v>
      </c>
      <c r="H35" s="49" t="s">
        <v>30</v>
      </c>
      <c r="I35" s="23">
        <v>133013</v>
      </c>
      <c r="J35" s="41">
        <v>521</v>
      </c>
      <c r="K35" s="42" t="s">
        <v>90</v>
      </c>
    </row>
    <row r="36" customFormat="1" ht="15.75" spans="1:11">
      <c r="A36" s="8" t="s">
        <v>91</v>
      </c>
      <c r="B36" s="20">
        <v>5</v>
      </c>
      <c r="C36" s="49" t="s">
        <v>30</v>
      </c>
      <c r="D36" s="23">
        <v>35924</v>
      </c>
      <c r="E36" s="23">
        <v>529</v>
      </c>
      <c r="F36" s="23">
        <v>23631</v>
      </c>
      <c r="G36" s="20">
        <v>23</v>
      </c>
      <c r="H36" s="49" t="s">
        <v>27</v>
      </c>
      <c r="I36" s="23">
        <v>130552</v>
      </c>
      <c r="J36" s="41">
        <v>529</v>
      </c>
      <c r="K36" s="42" t="s">
        <v>92</v>
      </c>
    </row>
    <row r="37" customFormat="1" ht="15.75" spans="1:11">
      <c r="A37" s="8" t="s">
        <v>93</v>
      </c>
      <c r="B37" s="20">
        <v>5</v>
      </c>
      <c r="C37" s="49" t="s">
        <v>94</v>
      </c>
      <c r="D37" s="23">
        <v>27629</v>
      </c>
      <c r="E37" s="23">
        <v>527</v>
      </c>
      <c r="F37" s="23">
        <v>24588</v>
      </c>
      <c r="G37" s="20">
        <v>65</v>
      </c>
      <c r="H37" s="49" t="s">
        <v>95</v>
      </c>
      <c r="I37" s="23">
        <v>100058</v>
      </c>
      <c r="J37" s="41">
        <v>538</v>
      </c>
      <c r="K37" s="42" t="s">
        <v>96</v>
      </c>
    </row>
    <row r="38" customFormat="1" ht="15.75" spans="1:11">
      <c r="A38" s="8" t="s">
        <v>97</v>
      </c>
      <c r="B38" s="20">
        <v>5</v>
      </c>
      <c r="C38" s="49" t="s">
        <v>89</v>
      </c>
      <c r="D38" s="23">
        <v>37152</v>
      </c>
      <c r="E38" s="23">
        <v>507</v>
      </c>
      <c r="F38" s="23">
        <v>35364</v>
      </c>
      <c r="G38" s="20">
        <v>22</v>
      </c>
      <c r="H38" s="49" t="s">
        <v>60</v>
      </c>
      <c r="I38" s="23">
        <v>134244</v>
      </c>
      <c r="J38" s="41">
        <v>509</v>
      </c>
      <c r="K38" s="42" t="s">
        <v>98</v>
      </c>
    </row>
    <row r="39" s="1" customFormat="1" ht="15.75" spans="1:11">
      <c r="A39" s="8" t="s">
        <v>99</v>
      </c>
      <c r="B39" s="20"/>
      <c r="C39" s="24"/>
      <c r="D39" s="24"/>
      <c r="E39" s="24"/>
      <c r="F39" s="24"/>
      <c r="G39" s="20">
        <v>50</v>
      </c>
      <c r="H39" s="49" t="s">
        <v>27</v>
      </c>
      <c r="I39" s="23">
        <v>130539</v>
      </c>
      <c r="J39" s="41">
        <v>530</v>
      </c>
      <c r="K39" s="43" t="s">
        <v>100</v>
      </c>
    </row>
    <row r="40" customFormat="1" ht="15.75" spans="1:11">
      <c r="A40" s="8" t="s">
        <v>101</v>
      </c>
      <c r="B40" s="20"/>
      <c r="C40" s="24"/>
      <c r="D40" s="24"/>
      <c r="E40" s="24"/>
      <c r="F40" s="24"/>
      <c r="G40" s="20">
        <v>28</v>
      </c>
      <c r="H40" s="49" t="s">
        <v>89</v>
      </c>
      <c r="I40" s="23">
        <v>135551</v>
      </c>
      <c r="J40" s="41">
        <v>515</v>
      </c>
      <c r="K40" s="42" t="s">
        <v>102</v>
      </c>
    </row>
    <row r="41" customFormat="1" ht="15.75" spans="1:11">
      <c r="A41" s="8" t="s">
        <v>103</v>
      </c>
      <c r="B41" s="20"/>
      <c r="C41" s="24"/>
      <c r="D41" s="24"/>
      <c r="E41" s="24"/>
      <c r="F41" s="24"/>
      <c r="G41" s="20">
        <v>107</v>
      </c>
      <c r="H41" s="49" t="s">
        <v>46</v>
      </c>
      <c r="I41" s="23">
        <v>127828</v>
      </c>
      <c r="J41" s="41">
        <v>538</v>
      </c>
      <c r="K41" s="42" t="s">
        <v>104</v>
      </c>
    </row>
    <row r="42" customFormat="1" ht="15.75" spans="1:11">
      <c r="A42" s="8" t="s">
        <v>105</v>
      </c>
      <c r="B42" s="20"/>
      <c r="C42" s="24"/>
      <c r="D42" s="24"/>
      <c r="E42" s="24"/>
      <c r="F42" s="24"/>
      <c r="G42" s="20">
        <v>1</v>
      </c>
      <c r="H42" s="49" t="s">
        <v>106</v>
      </c>
      <c r="I42" s="23">
        <v>114077</v>
      </c>
      <c r="J42" s="41">
        <v>520</v>
      </c>
      <c r="K42" s="42" t="s">
        <v>107</v>
      </c>
    </row>
    <row r="43" customFormat="1" ht="15.75" spans="1:11">
      <c r="A43" s="8" t="s">
        <v>108</v>
      </c>
      <c r="B43" s="20"/>
      <c r="C43" s="24"/>
      <c r="D43" s="24"/>
      <c r="E43" s="24"/>
      <c r="F43" s="24"/>
      <c r="G43" s="20">
        <v>70</v>
      </c>
      <c r="H43" s="49" t="s">
        <v>79</v>
      </c>
      <c r="I43" s="23">
        <v>124495</v>
      </c>
      <c r="J43" s="41">
        <v>534</v>
      </c>
      <c r="K43" s="42" t="s">
        <v>109</v>
      </c>
    </row>
    <row r="44" customFormat="1" ht="15.75" spans="1:11">
      <c r="A44" s="8" t="s">
        <v>110</v>
      </c>
      <c r="B44" s="20"/>
      <c r="C44" s="24"/>
      <c r="D44" s="24"/>
      <c r="E44" s="24"/>
      <c r="F44" s="24"/>
      <c r="G44" s="20">
        <v>67</v>
      </c>
      <c r="H44" s="49" t="s">
        <v>30</v>
      </c>
      <c r="I44" s="23">
        <v>133068</v>
      </c>
      <c r="J44" s="41">
        <v>529</v>
      </c>
      <c r="K44" s="42" t="s">
        <v>111</v>
      </c>
    </row>
    <row r="45" customFormat="1" ht="15.75" spans="1:11">
      <c r="A45" s="8" t="s">
        <v>112</v>
      </c>
      <c r="B45" s="20"/>
      <c r="C45" s="24"/>
      <c r="D45" s="24"/>
      <c r="E45" s="24"/>
      <c r="F45" s="24"/>
      <c r="G45" s="20">
        <v>41</v>
      </c>
      <c r="H45" s="49" t="s">
        <v>20</v>
      </c>
      <c r="I45" s="23">
        <v>131870</v>
      </c>
      <c r="J45" s="41">
        <v>531</v>
      </c>
      <c r="K45" s="42" t="s">
        <v>113</v>
      </c>
    </row>
    <row r="46" customFormat="1" ht="15.75" spans="1:11">
      <c r="A46" s="8" t="s">
        <v>114</v>
      </c>
      <c r="B46" s="20"/>
      <c r="C46" s="24"/>
      <c r="D46" s="24"/>
      <c r="E46" s="24"/>
      <c r="F46" s="24"/>
      <c r="G46" s="20">
        <v>53</v>
      </c>
      <c r="H46" s="49" t="s">
        <v>78</v>
      </c>
      <c r="I46" s="23">
        <v>122483</v>
      </c>
      <c r="J46" s="41">
        <v>539</v>
      </c>
      <c r="K46" s="42" t="s">
        <v>115</v>
      </c>
    </row>
    <row r="47" customFormat="1" ht="15.75" spans="1:11">
      <c r="A47" s="8" t="s">
        <v>116</v>
      </c>
      <c r="B47" s="20"/>
      <c r="C47" s="24"/>
      <c r="D47" s="24"/>
      <c r="E47" s="24"/>
      <c r="F47" s="24"/>
      <c r="G47" s="20">
        <v>23</v>
      </c>
      <c r="H47" s="49" t="s">
        <v>27</v>
      </c>
      <c r="I47" s="23">
        <v>130740</v>
      </c>
      <c r="J47" s="41">
        <v>530</v>
      </c>
      <c r="K47" s="42" t="s">
        <v>117</v>
      </c>
    </row>
    <row r="48" customFormat="1" ht="15.75" spans="1:11">
      <c r="A48" s="8" t="s">
        <v>118</v>
      </c>
      <c r="B48" s="20"/>
      <c r="C48" s="24"/>
      <c r="D48" s="24"/>
      <c r="E48" s="24"/>
      <c r="F48" s="24"/>
      <c r="G48" s="20">
        <v>90</v>
      </c>
      <c r="H48" s="49" t="s">
        <v>106</v>
      </c>
      <c r="I48" s="23">
        <v>113632</v>
      </c>
      <c r="J48" s="41">
        <v>543</v>
      </c>
      <c r="K48" s="42" t="s">
        <v>119</v>
      </c>
    </row>
    <row r="49" customFormat="1" ht="28.5" spans="1:11">
      <c r="A49" s="8" t="s">
        <v>120</v>
      </c>
      <c r="B49" s="20"/>
      <c r="C49" s="24"/>
      <c r="D49" s="24"/>
      <c r="E49" s="24"/>
      <c r="F49" s="24"/>
      <c r="G49" s="20">
        <v>147</v>
      </c>
      <c r="H49" s="49" t="s">
        <v>106</v>
      </c>
      <c r="I49" s="23">
        <v>112824</v>
      </c>
      <c r="J49" s="41">
        <v>546</v>
      </c>
      <c r="K49" s="42" t="s">
        <v>121</v>
      </c>
    </row>
    <row r="50" customFormat="1" ht="15.75" spans="1:11">
      <c r="A50" s="8" t="s">
        <v>122</v>
      </c>
      <c r="B50" s="20"/>
      <c r="C50" s="24"/>
      <c r="D50" s="24"/>
      <c r="E50" s="24"/>
      <c r="F50" s="24"/>
      <c r="G50" s="20">
        <v>110</v>
      </c>
      <c r="H50" s="49" t="s">
        <v>94</v>
      </c>
      <c r="I50" s="23">
        <v>112257</v>
      </c>
      <c r="J50" s="41">
        <v>552</v>
      </c>
      <c r="K50" s="42" t="s">
        <v>123</v>
      </c>
    </row>
    <row r="51" customFormat="1" ht="15.75" spans="1:11">
      <c r="A51" s="8" t="s">
        <v>124</v>
      </c>
      <c r="B51" s="20"/>
      <c r="C51" s="24"/>
      <c r="D51" s="24"/>
      <c r="E51" s="24"/>
      <c r="F51" s="24"/>
      <c r="G51" s="20">
        <v>53</v>
      </c>
      <c r="H51" s="49" t="s">
        <v>125</v>
      </c>
      <c r="I51" s="23">
        <v>93015</v>
      </c>
      <c r="J51" s="41">
        <v>552</v>
      </c>
      <c r="K51" s="42" t="s">
        <v>126</v>
      </c>
    </row>
    <row r="52" customFormat="1" ht="15.75" spans="1:11">
      <c r="A52" s="8" t="s">
        <v>127</v>
      </c>
      <c r="B52" s="20"/>
      <c r="C52" s="24"/>
      <c r="D52" s="24"/>
      <c r="E52" s="24"/>
      <c r="F52" s="24"/>
      <c r="G52" s="20">
        <v>126</v>
      </c>
      <c r="H52" s="49" t="s">
        <v>128</v>
      </c>
      <c r="I52" s="23">
        <v>87378</v>
      </c>
      <c r="J52" s="41">
        <v>562</v>
      </c>
      <c r="K52" s="42" t="s">
        <v>129</v>
      </c>
    </row>
    <row r="53" customFormat="1" ht="15.75" spans="1:11">
      <c r="A53" s="8" t="s">
        <v>130</v>
      </c>
      <c r="B53" s="20"/>
      <c r="C53" s="24"/>
      <c r="D53" s="24"/>
      <c r="E53" s="24"/>
      <c r="F53" s="24"/>
      <c r="G53" s="20">
        <v>53</v>
      </c>
      <c r="H53" s="49" t="s">
        <v>131</v>
      </c>
      <c r="I53" s="23">
        <v>96670</v>
      </c>
      <c r="J53" s="41">
        <v>540</v>
      </c>
      <c r="K53" s="42" t="s">
        <v>132</v>
      </c>
    </row>
    <row r="54" customFormat="1" ht="15.75" spans="1:11">
      <c r="A54" s="8" t="s">
        <v>133</v>
      </c>
      <c r="B54" s="20"/>
      <c r="C54" s="24"/>
      <c r="D54" s="24"/>
      <c r="E54" s="24"/>
      <c r="F54" s="24"/>
      <c r="G54" s="20">
        <v>60</v>
      </c>
      <c r="H54" s="49" t="s">
        <v>125</v>
      </c>
      <c r="I54" s="23">
        <v>93213</v>
      </c>
      <c r="J54" s="41">
        <v>549</v>
      </c>
      <c r="K54" s="42" t="s">
        <v>134</v>
      </c>
    </row>
    <row r="55" customFormat="1" ht="15.75" spans="1:11">
      <c r="A55" s="8" t="s">
        <v>135</v>
      </c>
      <c r="B55" s="20"/>
      <c r="C55" s="24"/>
      <c r="D55" s="24"/>
      <c r="E55" s="24"/>
      <c r="F55" s="24"/>
      <c r="G55" s="20">
        <v>80</v>
      </c>
      <c r="H55" s="49" t="s">
        <v>30</v>
      </c>
      <c r="I55" s="23">
        <v>133894</v>
      </c>
      <c r="J55" s="41">
        <v>531</v>
      </c>
      <c r="K55" s="42" t="s">
        <v>136</v>
      </c>
    </row>
    <row r="56" customFormat="1" ht="15.75" spans="1:11">
      <c r="A56" s="8" t="s">
        <v>137</v>
      </c>
      <c r="B56" s="20"/>
      <c r="C56" s="24"/>
      <c r="D56" s="24"/>
      <c r="E56" s="24"/>
      <c r="F56" s="24"/>
      <c r="G56" s="20">
        <v>25</v>
      </c>
      <c r="H56" s="49" t="s">
        <v>30</v>
      </c>
      <c r="I56" s="23">
        <v>133473</v>
      </c>
      <c r="J56" s="41">
        <v>537</v>
      </c>
      <c r="K56" s="42" t="s">
        <v>138</v>
      </c>
    </row>
    <row r="57" customFormat="1" ht="15.75" spans="1:11">
      <c r="A57" s="8" t="s">
        <v>139</v>
      </c>
      <c r="B57" s="20"/>
      <c r="C57" s="24"/>
      <c r="D57" s="24"/>
      <c r="E57" s="24"/>
      <c r="F57" s="24"/>
      <c r="G57" s="20">
        <v>25</v>
      </c>
      <c r="H57" s="49" t="s">
        <v>60</v>
      </c>
      <c r="I57" s="23">
        <v>134019</v>
      </c>
      <c r="J57" s="41">
        <v>520</v>
      </c>
      <c r="K57" s="42" t="s">
        <v>140</v>
      </c>
    </row>
    <row r="58" customFormat="1" ht="15.75" spans="1:11">
      <c r="A58" s="8" t="s">
        <v>141</v>
      </c>
      <c r="B58" s="20"/>
      <c r="C58" s="24"/>
      <c r="D58" s="24"/>
      <c r="E58" s="24"/>
      <c r="F58" s="24"/>
      <c r="G58" s="20">
        <v>84</v>
      </c>
      <c r="H58" s="49" t="s">
        <v>41</v>
      </c>
      <c r="I58" s="23">
        <v>120619</v>
      </c>
      <c r="J58" s="41">
        <v>542</v>
      </c>
      <c r="K58" s="42" t="s">
        <v>142</v>
      </c>
    </row>
    <row r="59" customFormat="1" ht="15.75" spans="1:11">
      <c r="A59" s="8" t="s">
        <v>143</v>
      </c>
      <c r="B59" s="20"/>
      <c r="C59" s="24"/>
      <c r="D59" s="24"/>
      <c r="E59" s="24"/>
      <c r="F59" s="24"/>
      <c r="G59" s="20">
        <v>84</v>
      </c>
      <c r="H59" s="49" t="s">
        <v>144</v>
      </c>
      <c r="I59" s="23">
        <v>98155</v>
      </c>
      <c r="J59" s="41">
        <v>549</v>
      </c>
      <c r="K59" s="42" t="s">
        <v>145</v>
      </c>
    </row>
    <row r="60" customFormat="1" ht="15.75" spans="1:11">
      <c r="A60" s="8" t="s">
        <v>146</v>
      </c>
      <c r="B60" s="20"/>
      <c r="C60" s="24"/>
      <c r="D60" s="24"/>
      <c r="E60" s="24"/>
      <c r="F60" s="24"/>
      <c r="G60" s="20">
        <v>106</v>
      </c>
      <c r="H60" s="49" t="s">
        <v>131</v>
      </c>
      <c r="I60" s="23">
        <v>96643</v>
      </c>
      <c r="J60" s="41">
        <v>551</v>
      </c>
      <c r="K60" s="42" t="s">
        <v>147</v>
      </c>
    </row>
    <row r="61" customFormat="1" ht="15.75" spans="1:11">
      <c r="A61" s="8" t="s">
        <v>148</v>
      </c>
      <c r="B61" s="20"/>
      <c r="C61" s="24"/>
      <c r="D61" s="24"/>
      <c r="E61" s="24"/>
      <c r="F61" s="24"/>
      <c r="G61" s="20">
        <v>95</v>
      </c>
      <c r="H61" s="49" t="s">
        <v>94</v>
      </c>
      <c r="I61" s="23">
        <v>111865</v>
      </c>
      <c r="J61" s="41">
        <v>565</v>
      </c>
      <c r="K61" s="42" t="s">
        <v>149</v>
      </c>
    </row>
    <row r="62" customFormat="1" ht="28.5" spans="1:11">
      <c r="A62" s="8" t="s">
        <v>150</v>
      </c>
      <c r="B62" s="20"/>
      <c r="C62" s="24"/>
      <c r="D62" s="24"/>
      <c r="E62" s="24"/>
      <c r="F62" s="24"/>
      <c r="G62" s="20">
        <v>2</v>
      </c>
      <c r="H62" s="49" t="s">
        <v>144</v>
      </c>
      <c r="I62" s="23">
        <v>98436</v>
      </c>
      <c r="J62" s="41">
        <v>532</v>
      </c>
      <c r="K62" s="42" t="s">
        <v>151</v>
      </c>
    </row>
    <row r="63" customFormat="1" ht="15.75" spans="1:11">
      <c r="A63" s="8" t="s">
        <v>152</v>
      </c>
      <c r="B63" s="20"/>
      <c r="C63" s="24"/>
      <c r="D63" s="24"/>
      <c r="E63" s="24"/>
      <c r="F63" s="24"/>
      <c r="G63" s="20">
        <v>83</v>
      </c>
      <c r="H63" s="49" t="s">
        <v>131</v>
      </c>
      <c r="I63" s="23">
        <v>97462</v>
      </c>
      <c r="J63" s="41">
        <v>540</v>
      </c>
      <c r="K63" s="42" t="s">
        <v>153</v>
      </c>
    </row>
    <row r="64" s="1" customFormat="1" ht="15.75" spans="1:11">
      <c r="A64" s="8" t="s">
        <v>154</v>
      </c>
      <c r="B64" s="20">
        <v>10</v>
      </c>
      <c r="C64" s="49" t="s">
        <v>27</v>
      </c>
      <c r="D64" s="23">
        <v>34938</v>
      </c>
      <c r="E64" s="23">
        <v>514</v>
      </c>
      <c r="F64" s="23">
        <v>31099</v>
      </c>
      <c r="G64" s="20">
        <v>20</v>
      </c>
      <c r="H64" s="49" t="s">
        <v>46</v>
      </c>
      <c r="I64" s="23">
        <v>127458</v>
      </c>
      <c r="J64" s="41">
        <v>535</v>
      </c>
      <c r="K64" s="43" t="s">
        <v>155</v>
      </c>
    </row>
    <row r="65" customFormat="1" ht="15.75" spans="1:11">
      <c r="A65" s="8" t="s">
        <v>156</v>
      </c>
      <c r="B65" s="20"/>
      <c r="C65" s="24"/>
      <c r="D65" s="24"/>
      <c r="E65" s="24"/>
      <c r="F65" s="24"/>
      <c r="G65" s="20">
        <v>89</v>
      </c>
      <c r="H65" s="49" t="s">
        <v>95</v>
      </c>
      <c r="I65" s="23">
        <v>100072</v>
      </c>
      <c r="J65" s="41">
        <v>544</v>
      </c>
      <c r="K65" s="42" t="s">
        <v>157</v>
      </c>
    </row>
    <row r="66" customFormat="1" ht="15.75" spans="1:11">
      <c r="A66" s="8" t="s">
        <v>158</v>
      </c>
      <c r="B66" s="20"/>
      <c r="C66" s="24"/>
      <c r="D66" s="24"/>
      <c r="E66" s="24"/>
      <c r="F66" s="24"/>
      <c r="G66" s="20">
        <v>29</v>
      </c>
      <c r="H66" s="49" t="s">
        <v>30</v>
      </c>
      <c r="I66" s="23">
        <v>132809</v>
      </c>
      <c r="J66" s="41">
        <v>532</v>
      </c>
      <c r="K66" s="42" t="s">
        <v>159</v>
      </c>
    </row>
    <row r="67" customFormat="1" ht="15.75" spans="1:11">
      <c r="A67" s="8" t="s">
        <v>160</v>
      </c>
      <c r="B67" s="20"/>
      <c r="C67" s="24"/>
      <c r="D67" s="24"/>
      <c r="E67" s="24"/>
      <c r="F67" s="24"/>
      <c r="G67" s="20">
        <v>25</v>
      </c>
      <c r="H67" s="49" t="s">
        <v>20</v>
      </c>
      <c r="I67" s="23">
        <v>131585</v>
      </c>
      <c r="J67" s="41">
        <v>544</v>
      </c>
      <c r="K67" s="42" t="s">
        <v>161</v>
      </c>
    </row>
    <row r="68" customFormat="1" ht="15.75" spans="1:11">
      <c r="A68" s="8" t="s">
        <v>162</v>
      </c>
      <c r="B68" s="20"/>
      <c r="C68" s="24"/>
      <c r="D68" s="24"/>
      <c r="E68" s="24"/>
      <c r="F68" s="24"/>
      <c r="G68" s="20">
        <v>30</v>
      </c>
      <c r="H68" s="49" t="s">
        <v>24</v>
      </c>
      <c r="I68" s="23">
        <v>128708</v>
      </c>
      <c r="J68" s="41">
        <v>528</v>
      </c>
      <c r="K68" s="42" t="s">
        <v>163</v>
      </c>
    </row>
    <row r="69" customFormat="1" ht="15.75" spans="1:11">
      <c r="A69" s="8" t="s">
        <v>164</v>
      </c>
      <c r="B69" s="44"/>
      <c r="C69" s="45"/>
      <c r="D69" s="45"/>
      <c r="E69" s="45"/>
      <c r="F69" s="45"/>
      <c r="G69" s="44">
        <v>72</v>
      </c>
      <c r="H69" s="50" t="s">
        <v>27</v>
      </c>
      <c r="I69" s="46">
        <v>129793</v>
      </c>
      <c r="J69" s="41">
        <v>527</v>
      </c>
      <c r="K69" s="42" t="s">
        <v>165</v>
      </c>
    </row>
    <row r="70" customFormat="1" ht="42.75" spans="1:11">
      <c r="A70" s="13" t="s">
        <v>166</v>
      </c>
      <c r="B70" s="20"/>
      <c r="C70" s="24"/>
      <c r="D70" s="24"/>
      <c r="E70" s="24"/>
      <c r="F70" s="24"/>
      <c r="G70" s="20">
        <v>40</v>
      </c>
      <c r="H70" s="49" t="s">
        <v>167</v>
      </c>
      <c r="I70" s="23">
        <v>150687</v>
      </c>
      <c r="J70" s="41">
        <v>504</v>
      </c>
      <c r="K70" s="42" t="s">
        <v>168</v>
      </c>
    </row>
    <row r="71" customFormat="1" ht="15.75" spans="1:11">
      <c r="A71" s="13" t="s">
        <v>169</v>
      </c>
      <c r="B71" s="20">
        <f>SUM(B9:B70)</f>
        <v>625</v>
      </c>
      <c r="C71" s="24"/>
      <c r="D71" s="24"/>
      <c r="E71" s="24"/>
      <c r="F71" s="24"/>
      <c r="G71" s="20">
        <f>SUM(G9:G70)</f>
        <v>3159</v>
      </c>
      <c r="H71" s="23"/>
      <c r="I71" s="23"/>
      <c r="J71" s="41"/>
      <c r="K71" s="42"/>
    </row>
    <row r="72" ht="21" customHeight="1" spans="1:8">
      <c r="A72" s="47" t="s">
        <v>170</v>
      </c>
      <c r="B72" s="47"/>
      <c r="C72" s="47"/>
      <c r="D72" s="47"/>
      <c r="E72" s="47"/>
      <c r="F72" s="47"/>
      <c r="G72" s="47"/>
      <c r="H72" s="47"/>
    </row>
  </sheetData>
  <mergeCells count="11">
    <mergeCell ref="A1:K1"/>
    <mergeCell ref="B2:K2"/>
    <mergeCell ref="B3:F3"/>
    <mergeCell ref="G3:K3"/>
    <mergeCell ref="C5:H5"/>
    <mergeCell ref="C6:H6"/>
    <mergeCell ref="C7:H7"/>
    <mergeCell ref="C8:H8"/>
    <mergeCell ref="A72:G72"/>
    <mergeCell ref="A2:A4"/>
    <mergeCell ref="I5:K8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xiaochan</cp:lastModifiedBy>
  <dcterms:created xsi:type="dcterms:W3CDTF">2023-06-12T01:02:00Z</dcterms:created>
  <dcterms:modified xsi:type="dcterms:W3CDTF">2024-04-18T14:10:42Z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wqlLaW5nc29mdCBQREYgdG8gV1BTIDgw</vt:lpwstr>
  </property>
  <property fmtid="{D5CDD505-2E9C-101B-9397-08002B2CF9AE}" pid="3" name="Created">
    <vt:filetime>2023-06-12T00:50:59Z</vt:filetime>
  </property>
  <property fmtid="{D5CDD505-2E9C-101B-9397-08002B2CF9AE}" pid="4" name="KSOReadingLayout">
    <vt:bool>true</vt:bool>
  </property>
  <property fmtid="{D5CDD505-2E9C-101B-9397-08002B2CF9AE}" pid="5" name="KSOProductBuildVer">
    <vt:lpwstr>2052-12.1.0.16729</vt:lpwstr>
  </property>
  <property fmtid="{D5CDD505-2E9C-101B-9397-08002B2CF9AE}" pid="6" name="ICV">
    <vt:lpwstr>BA06C243346B42379B4EB4673144F84A_13</vt:lpwstr>
  </property>
</Properties>
</file>